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RABAJOS INGENIERIA 2026\DICOINAR\PETROLERO\FABRICACION\"/>
    </mc:Choice>
  </mc:AlternateContent>
  <xr:revisionPtr revIDLastSave="0" documentId="13_ncr:1_{22F0F656-B524-4FC3-A2FF-B855073E7401}" xr6:coauthVersionLast="47" xr6:coauthVersionMax="47" xr10:uidLastSave="{00000000-0000-0000-0000-000000000000}"/>
  <bookViews>
    <workbookView xWindow="-28920" yWindow="-120" windowWidth="29040" windowHeight="15720" tabRatio="654" xr2:uid="{00000000-000D-0000-FFFF-FFFF00000000}"/>
  </bookViews>
  <sheets>
    <sheet name="ORDENES DE FABRICACION" sheetId="18" r:id="rId1"/>
    <sheet name="TOTALES" sheetId="5" r:id="rId2"/>
    <sheet name="Lista de Articulos" sheetId="22" state="hidden" r:id="rId3"/>
    <sheet name="BODEGAS" sheetId="23" state="hidden" r:id="rId4"/>
    <sheet name="RUTAS" sheetId="24" state="hidden" r:id="rId5"/>
  </sheets>
  <externalReferences>
    <externalReference r:id="rId6"/>
    <externalReference r:id="rId7"/>
    <externalReference r:id="rId8"/>
  </externalReferences>
  <definedNames>
    <definedName name="_1Excel_BuiltIn_Print_Area_1_1">"$#REF!.$A$2:$C$35"</definedName>
    <definedName name="_xlnm._FilterDatabase" localSheetId="0" hidden="1">'ORDENES DE FABRICACION'!$A$5:$AM$166</definedName>
    <definedName name="_Key1" hidden="1">#REF!</definedName>
    <definedName name="_Key2" hidden="1">#REF!</definedName>
    <definedName name="_MAT2010">#REF!</definedName>
    <definedName name="_Order1" hidden="1">255</definedName>
    <definedName name="_Order2" hidden="1">0</definedName>
    <definedName name="_Sort" hidden="1">#REF!</definedName>
    <definedName name="A">#REF!</definedName>
    <definedName name="A_2">"$#REF!.$A$4:$U$97"</definedName>
    <definedName name="A_5">"$#REF!.$A$4:$U$97"</definedName>
    <definedName name="A_6">"$#REF!.$A$4:$U$97"</definedName>
    <definedName name="ADELCA_MALLAELECTROSOLDADA_6x2.4m">#REF!</definedName>
    <definedName name="ALUMINIO_PLACA">#REF!</definedName>
    <definedName name="ARANDELA_PLANA">#REF!</definedName>
    <definedName name="ARANDELA_PRESIÓN">#REF!</definedName>
    <definedName name="ARANDELA_RELLENO">#REF!</definedName>
    <definedName name="area2011">#REF!</definedName>
    <definedName name="AREA2014">#REF!</definedName>
    <definedName name="AREA2014A">#REF!</definedName>
    <definedName name="AREA2014B">#REF!</definedName>
    <definedName name="Arriostramientos_2C" comment="Lista de Arriostramientos 2C">'Lista de Articulos'!$B$2:$B$1048576</definedName>
    <definedName name="Arriostramientos_4PL" comment="Arriostramientos 4PL">'Lista de Articulos'!$C$2:$C$1048576</definedName>
    <definedName name="Arriostramientos_H_I" comment="Arriostramientos H, I">'Lista de Articulos'!$D$2:$D$1048576</definedName>
    <definedName name="BAJANTE_TOOL">#REF!</definedName>
    <definedName name="BAJANTES_PVC">#REF!</definedName>
    <definedName name="CANAL">#REF!</definedName>
    <definedName name="CODO_90ºPVC">#REF!</definedName>
    <definedName name="CODO_SCH40">#REF!</definedName>
    <definedName name="CODOS_45ºPVC">#REF!</definedName>
    <definedName name="CODOS_SCH40">#REF!</definedName>
    <definedName name="COT">[1]DATOS!$A$3:$G$647</definedName>
    <definedName name="CUBIERTA_A792">#REF!</definedName>
    <definedName name="CUBIERTA_INYECTADA">#REF!</definedName>
    <definedName name="CUMBRERO">#REF!</definedName>
    <definedName name="e">#REF!</definedName>
    <definedName name="EJE_TRANSMISIÓN_SAE1018">#REF!</definedName>
    <definedName name="Excel_BuiltIn_Print_Area">"$#REF!.$A$47:$I$92"</definedName>
    <definedName name="Excel_BuiltIn_Print_Area_2">"$#REF!.$A$39:$I$78"</definedName>
    <definedName name="Excel_BuiltIn_Print_Area_4">"$#REF!.$#REF!$#REF!:$#REF!$#REF!"</definedName>
    <definedName name="Excel_BuiltIn_Print_Titles">"$#REF!.$A$6:$IV$7"</definedName>
    <definedName name="Excel_BuiltIn_Print_Titles_2">"$#REF!.$A$7:$IV$8"</definedName>
    <definedName name="Excel_BuiltIn_Print_Titles_5">"$#REF!.$A$7:$IV$8"</definedName>
    <definedName name="Excel_BuiltIn_Print_Titles_6">"$#REF!.$A$7:$IV$8"</definedName>
    <definedName name="GALPON">#REF!</definedName>
    <definedName name="HEA_laminado">#REF!</definedName>
    <definedName name="HEB_laminado">#REF!</definedName>
    <definedName name="HERRAJE">#REF!</definedName>
    <definedName name="HGF">#REF!</definedName>
    <definedName name="HILTI">#REF!</definedName>
    <definedName name="HOJAINT">#REF!</definedName>
    <definedName name="IPE_laminado">#REF!</definedName>
    <definedName name="IPN_laminado">#REF!</definedName>
    <definedName name="LI">#REF!</definedName>
    <definedName name="LISTAM">#REF!</definedName>
    <definedName name="LISTAMAT">[2]DATOS!$A$3:$G$647</definedName>
    <definedName name="ListaPosicion" comment="Lista de Posiciones">'Lista de Articulos'!$A$2:$A$1048576</definedName>
    <definedName name="ListaPosicionPrin" comment="Celda Principal de la Posicion">'ORDENES DE FABRICACION'!$E$6</definedName>
    <definedName name="LISTMAT">#REF!</definedName>
    <definedName name="LISTMAT_2">"$#REF!.$A$9:$Z$226"</definedName>
    <definedName name="LISTMAT_5">"$#REF!.$A$9:$Z$226"</definedName>
    <definedName name="LISTMAT_6">"$#REF!.$A$9:$Z$226"</definedName>
    <definedName name="LISTMATERILES">#REF!</definedName>
    <definedName name="M.GALPON" hidden="1">#REF!</definedName>
    <definedName name="MALLA_EXPANDIDA_PARA_TORRES">#REF!</definedName>
    <definedName name="MATER20011">#REF!</definedName>
    <definedName name="PARAORDENAR">#REF!</definedName>
    <definedName name="PASOSPERNOS">#REF!</definedName>
    <definedName name="PERFIL_C">#REF!</definedName>
    <definedName name="PERFIL_C_GR50_A572">#REF!</definedName>
    <definedName name="PERFIL_CANAL_UV">#REF!</definedName>
    <definedName name="PERFIL_DOBLADO_Z">#REF!</definedName>
    <definedName name="PERFIL_G">#REF!</definedName>
    <definedName name="PERFIL_L_GR50_A572">#REF!</definedName>
    <definedName name="PERFIL_L_laminado">#REF!</definedName>
    <definedName name="PERFIL_L_laminado_aluminio">#REF!</definedName>
    <definedName name="PERFIL_TEE_laminado">#REF!</definedName>
    <definedName name="PERFIL_W">#REF!</definedName>
    <definedName name="PERFIL_W_A572_GR50">#REF!</definedName>
    <definedName name="PERFIL_WT_GR50_A572">#REF!</definedName>
    <definedName name="PERFIL_Ω">#REF!</definedName>
    <definedName name="PERNO_ASTM">#REF!</definedName>
    <definedName name="PERNO_AUTOPERFORANTE">#REF!</definedName>
    <definedName name="PERNO_HILTI_GALVANIZADO">#REF!</definedName>
    <definedName name="PERNOS">#REF!</definedName>
    <definedName name="PERNOS_SAE">#REF!</definedName>
    <definedName name="PESOESME">#REF!</definedName>
    <definedName name="PESOESME_2">"$#REF!.$A$27:$IV$34"</definedName>
    <definedName name="PESOSESME">#REF!</definedName>
    <definedName name="PESOSESME_2">"$#REF!.$A$27:$IV$34"</definedName>
    <definedName name="PLACA_CORRUGADA">#REF!</definedName>
    <definedName name="PLACA_GALVANIZADA_A593">#REF!</definedName>
    <definedName name="PLACAS_A36">#REF!</definedName>
    <definedName name="PLATINAS_Laminado">#REF!</definedName>
    <definedName name="_xlnm.Print_Area" localSheetId="1">TOTALES!$A$1:$A$1</definedName>
    <definedName name="_xlnm.Print_Area">#REF!</definedName>
    <definedName name="PRINT_AREA_MI">#REF!</definedName>
    <definedName name="PRINT_AREA_MI_2">"$#REF!.$A$39:$I$78"</definedName>
    <definedName name="_xlnm.Print_Titles">#REF!</definedName>
    <definedName name="PRINT_TITLES_MI">#REF!</definedName>
    <definedName name="PRINT_TITLES_MI_2">"$#REF!.$A$27:$IV$34"</definedName>
    <definedName name="SERIE">#REF!</definedName>
    <definedName name="TI">#REF!</definedName>
    <definedName name="TODO">#REF!</definedName>
    <definedName name="TODO_2">"$#REF!.$A$4:$U$97"</definedName>
    <definedName name="TODO_5">"$#REF!.$A$4:$U$97"</definedName>
    <definedName name="TODO_6">"$#REF!.$A$4:$U$97"</definedName>
    <definedName name="TOTAL">#REF!</definedName>
    <definedName name="TOTAL_2">"$#REF!.$A$9:$Z$226"</definedName>
    <definedName name="TOTAL_5">"$#REF!.$A$9:$Z$226"</definedName>
    <definedName name="TOTAL_6">"$#REF!.$A$9:$Z$226"</definedName>
    <definedName name="TUBO_A53_SCH40">#REF!</definedName>
    <definedName name="TUBO_A53_SCH80">#REF!</definedName>
    <definedName name="TUBO_CUADRADO">#REF!</definedName>
    <definedName name="TUBO_CUADRADO_GR50_A572">#REF!</definedName>
    <definedName name="TUBO_ISO65_LIGHT1">#REF!</definedName>
    <definedName name="TUBO_ISO65_LIGHT2">#REF!</definedName>
    <definedName name="TUBO_RECTANGULAR">#REF!</definedName>
    <definedName name="TUBO_RECTANGULAR_GR50_A572">#REF!</definedName>
    <definedName name="TUBO_REDONDO">#REF!</definedName>
    <definedName name="TUBO_REDONDO_GR50_A572">#REF!</definedName>
    <definedName name="TUERCA">#REF!</definedName>
    <definedName name="TYARD">#REF!</definedName>
    <definedName name="TYY">#REF!</definedName>
    <definedName name="UPN_laminado">#REF!</definedName>
    <definedName name="VAR_CUADRADA_LISA_Laminado">#REF!</definedName>
    <definedName name="VAR_REDONDA_CORRUGADA_Laminado">#REF!</definedName>
    <definedName name="VAR_REDONDA_LISA_Laminado">#REF!</definedName>
    <definedName name="VAR_REDONDA_LISA_laminado_aluminio">#REF!</definedName>
    <definedName name="VESTIDORES">#REF!</definedName>
    <definedName name="VIGA">#REF!</definedName>
  </definedNames>
  <calcPr calcId="181029"/>
</workbook>
</file>

<file path=xl/calcChain.xml><?xml version="1.0" encoding="utf-8"?>
<calcChain xmlns="http://schemas.openxmlformats.org/spreadsheetml/2006/main">
  <c r="K126" i="18" l="1"/>
  <c r="K154" i="18"/>
  <c r="K90" i="18"/>
  <c r="K119" i="18"/>
  <c r="K81" i="18"/>
  <c r="K136" i="18"/>
  <c r="K100" i="18"/>
  <c r="K22" i="18"/>
  <c r="K147" i="18"/>
  <c r="K112" i="18"/>
  <c r="K34" i="18"/>
  <c r="K27" i="18"/>
  <c r="K11" i="18"/>
  <c r="AJ155" i="18"/>
  <c r="V155" i="18"/>
  <c r="I155" i="18"/>
  <c r="H155" i="18"/>
  <c r="Q155" i="18" s="1"/>
  <c r="F155" i="18"/>
  <c r="AJ148" i="18"/>
  <c r="V148" i="18"/>
  <c r="I148" i="18"/>
  <c r="H148" i="18"/>
  <c r="Q148" i="18" s="1"/>
  <c r="F148" i="18"/>
  <c r="AJ137" i="18"/>
  <c r="V137" i="18"/>
  <c r="I137" i="18"/>
  <c r="H137" i="18"/>
  <c r="Q137" i="18" s="1"/>
  <c r="F137" i="18"/>
  <c r="AJ127" i="18"/>
  <c r="V127" i="18"/>
  <c r="I127" i="18"/>
  <c r="H127" i="18"/>
  <c r="Q127" i="18" s="1"/>
  <c r="F127" i="18"/>
  <c r="AJ120" i="18"/>
  <c r="V120" i="18"/>
  <c r="I120" i="18"/>
  <c r="H120" i="18"/>
  <c r="Q120" i="18" s="1"/>
  <c r="F120" i="18"/>
  <c r="AJ113" i="18"/>
  <c r="V113" i="18"/>
  <c r="I113" i="18"/>
  <c r="H113" i="18"/>
  <c r="Q113" i="18" s="1"/>
  <c r="F113" i="18"/>
  <c r="AJ101" i="18"/>
  <c r="V101" i="18"/>
  <c r="I101" i="18"/>
  <c r="H101" i="18"/>
  <c r="Q101" i="18" s="1"/>
  <c r="F101" i="18"/>
  <c r="AJ91" i="18"/>
  <c r="V91" i="18"/>
  <c r="I91" i="18"/>
  <c r="H91" i="18"/>
  <c r="Q91" i="18" s="1"/>
  <c r="F91" i="18"/>
  <c r="AJ82" i="18"/>
  <c r="V82" i="18"/>
  <c r="I82" i="18"/>
  <c r="H82" i="18"/>
  <c r="Q82" i="18" s="1"/>
  <c r="F82" i="18"/>
  <c r="AJ35" i="18"/>
  <c r="V35" i="18"/>
  <c r="I35" i="18"/>
  <c r="H35" i="18"/>
  <c r="Q35" i="18" s="1"/>
  <c r="F35" i="18"/>
  <c r="AJ28" i="18"/>
  <c r="V28" i="18"/>
  <c r="I28" i="18"/>
  <c r="H28" i="18"/>
  <c r="Q28" i="18" s="1"/>
  <c r="F28" i="18"/>
  <c r="AJ23" i="18"/>
  <c r="V23" i="18"/>
  <c r="I23" i="18"/>
  <c r="H23" i="18"/>
  <c r="Q23" i="18" s="1"/>
  <c r="F23" i="18"/>
  <c r="AJ12" i="18"/>
  <c r="V12" i="18"/>
  <c r="I12" i="18"/>
  <c r="H12" i="18"/>
  <c r="Q12" i="18" s="1"/>
  <c r="F12" i="18"/>
  <c r="R155" i="18" l="1"/>
  <c r="R137" i="18"/>
  <c r="R148" i="18"/>
  <c r="R127" i="18"/>
  <c r="R120" i="18"/>
  <c r="R113" i="18"/>
  <c r="R101" i="18"/>
  <c r="R91" i="18"/>
  <c r="R82" i="18"/>
  <c r="R35" i="18"/>
  <c r="R28" i="18"/>
  <c r="R23" i="18"/>
  <c r="R12" i="18"/>
  <c r="AJ166" i="18"/>
  <c r="AJ165" i="18" s="1"/>
  <c r="I166" i="18"/>
  <c r="H166" i="18"/>
  <c r="Q166" i="18" s="1"/>
  <c r="F166" i="18"/>
  <c r="F165" i="18" s="1"/>
  <c r="B166" i="18"/>
  <c r="J165" i="18"/>
  <c r="AL165" i="18"/>
  <c r="AL166" i="18" s="1"/>
  <c r="P165" i="18"/>
  <c r="P166" i="18" s="1"/>
  <c r="G165" i="18"/>
  <c r="AJ164" i="18"/>
  <c r="AJ163" i="18" s="1"/>
  <c r="I164" i="18"/>
  <c r="H164" i="18"/>
  <c r="Q164" i="18" s="1"/>
  <c r="F164" i="18"/>
  <c r="F163" i="18" s="1"/>
  <c r="B164" i="18"/>
  <c r="J163" i="18"/>
  <c r="AL163" i="18"/>
  <c r="AL164" i="18" s="1"/>
  <c r="P163" i="18"/>
  <c r="P164" i="18" s="1"/>
  <c r="G163" i="18"/>
  <c r="AJ162" i="18"/>
  <c r="I162" i="18"/>
  <c r="H162" i="18"/>
  <c r="Q162" i="18" s="1"/>
  <c r="R162" i="18" s="1"/>
  <c r="F162" i="18"/>
  <c r="B162" i="18"/>
  <c r="J153" i="18"/>
  <c r="AJ161" i="18"/>
  <c r="I161" i="18"/>
  <c r="H161" i="18"/>
  <c r="Q161" i="18" s="1"/>
  <c r="F161" i="18"/>
  <c r="B161" i="18"/>
  <c r="AJ160" i="18"/>
  <c r="I160" i="18"/>
  <c r="H160" i="18"/>
  <c r="Q160" i="18" s="1"/>
  <c r="F160" i="18"/>
  <c r="B160" i="18"/>
  <c r="AJ159" i="18"/>
  <c r="I159" i="18"/>
  <c r="H159" i="18"/>
  <c r="Q159" i="18" s="1"/>
  <c r="R159" i="18" s="1"/>
  <c r="F159" i="18"/>
  <c r="B159" i="18"/>
  <c r="AJ158" i="18"/>
  <c r="I158" i="18"/>
  <c r="H158" i="18"/>
  <c r="Q158" i="18" s="1"/>
  <c r="R158" i="18" s="1"/>
  <c r="F158" i="18"/>
  <c r="B158" i="18"/>
  <c r="AJ157" i="18"/>
  <c r="I157" i="18"/>
  <c r="H157" i="18"/>
  <c r="Q157" i="18" s="1"/>
  <c r="R157" i="18" s="1"/>
  <c r="F157" i="18"/>
  <c r="B157" i="18"/>
  <c r="AJ156" i="18"/>
  <c r="I156" i="18"/>
  <c r="H156" i="18"/>
  <c r="Q156" i="18" s="1"/>
  <c r="F156" i="18"/>
  <c r="B156" i="18"/>
  <c r="AJ154" i="18"/>
  <c r="AJ153" i="18" s="1"/>
  <c r="I154" i="18"/>
  <c r="H154" i="18"/>
  <c r="Q154" i="18" s="1"/>
  <c r="F154" i="18"/>
  <c r="B154" i="18"/>
  <c r="B155" i="18" s="1"/>
  <c r="AL153" i="18"/>
  <c r="AL154" i="18" s="1"/>
  <c r="P153" i="18"/>
  <c r="G153" i="18"/>
  <c r="AJ152" i="18"/>
  <c r="I152" i="18"/>
  <c r="H152" i="18"/>
  <c r="Q152" i="18" s="1"/>
  <c r="F152" i="18"/>
  <c r="B152" i="18"/>
  <c r="J146" i="18"/>
  <c r="AJ151" i="18"/>
  <c r="I151" i="18"/>
  <c r="H151" i="18"/>
  <c r="Q151" i="18" s="1"/>
  <c r="F151" i="18"/>
  <c r="B151" i="18"/>
  <c r="AJ150" i="18"/>
  <c r="I150" i="18"/>
  <c r="H150" i="18"/>
  <c r="Q150" i="18" s="1"/>
  <c r="F150" i="18"/>
  <c r="B150" i="18"/>
  <c r="AJ149" i="18"/>
  <c r="I149" i="18"/>
  <c r="H149" i="18"/>
  <c r="Q149" i="18" s="1"/>
  <c r="F149" i="18"/>
  <c r="B149" i="18"/>
  <c r="AJ147" i="18"/>
  <c r="AJ146" i="18" s="1"/>
  <c r="I147" i="18"/>
  <c r="H147" i="18"/>
  <c r="Q147" i="18" s="1"/>
  <c r="R147" i="18" s="1"/>
  <c r="F147" i="18"/>
  <c r="F146" i="18" s="1"/>
  <c r="B147" i="18"/>
  <c r="B148" i="18" s="1"/>
  <c r="AL146" i="18"/>
  <c r="AL147" i="18" s="1"/>
  <c r="P146" i="18"/>
  <c r="G146" i="18"/>
  <c r="AJ145" i="18"/>
  <c r="I145" i="18"/>
  <c r="H145" i="18"/>
  <c r="Q145" i="18" s="1"/>
  <c r="F145" i="18"/>
  <c r="B145" i="18"/>
  <c r="J135" i="18"/>
  <c r="AJ144" i="18"/>
  <c r="I144" i="18"/>
  <c r="H144" i="18"/>
  <c r="Q144" i="18" s="1"/>
  <c r="R144" i="18" s="1"/>
  <c r="F144" i="18"/>
  <c r="B144" i="18"/>
  <c r="AJ143" i="18"/>
  <c r="I143" i="18"/>
  <c r="H143" i="18"/>
  <c r="Q143" i="18" s="1"/>
  <c r="R143" i="18" s="1"/>
  <c r="F143" i="18"/>
  <c r="B143" i="18"/>
  <c r="AJ142" i="18"/>
  <c r="I142" i="18"/>
  <c r="H142" i="18"/>
  <c r="Q142" i="18" s="1"/>
  <c r="F142" i="18"/>
  <c r="B142" i="18"/>
  <c r="AJ141" i="18"/>
  <c r="I141" i="18"/>
  <c r="H141" i="18"/>
  <c r="Q141" i="18" s="1"/>
  <c r="R141" i="18" s="1"/>
  <c r="F141" i="18"/>
  <c r="B141" i="18"/>
  <c r="AJ140" i="18"/>
  <c r="I140" i="18"/>
  <c r="H140" i="18"/>
  <c r="Q140" i="18" s="1"/>
  <c r="R140" i="18" s="1"/>
  <c r="F140" i="18"/>
  <c r="B140" i="18"/>
  <c r="AJ139" i="18"/>
  <c r="I139" i="18"/>
  <c r="H139" i="18"/>
  <c r="Q139" i="18" s="1"/>
  <c r="F139" i="18"/>
  <c r="B139" i="18"/>
  <c r="AJ138" i="18"/>
  <c r="I138" i="18"/>
  <c r="H138" i="18"/>
  <c r="Q138" i="18" s="1"/>
  <c r="R138" i="18" s="1"/>
  <c r="F138" i="18"/>
  <c r="B138" i="18"/>
  <c r="AJ136" i="18"/>
  <c r="AJ135" i="18" s="1"/>
  <c r="I136" i="18"/>
  <c r="H136" i="18"/>
  <c r="Q136" i="18" s="1"/>
  <c r="F136" i="18"/>
  <c r="F135" i="18" s="1"/>
  <c r="B136" i="18"/>
  <c r="B137" i="18" s="1"/>
  <c r="AL135" i="18"/>
  <c r="AL136" i="18" s="1"/>
  <c r="P135" i="18"/>
  <c r="G135" i="18"/>
  <c r="AJ134" i="18"/>
  <c r="I134" i="18"/>
  <c r="H134" i="18"/>
  <c r="Q134" i="18" s="1"/>
  <c r="R134" i="18" s="1"/>
  <c r="F134" i="18"/>
  <c r="B134" i="18"/>
  <c r="J125" i="18"/>
  <c r="AJ133" i="18"/>
  <c r="I133" i="18"/>
  <c r="H133" i="18"/>
  <c r="Q133" i="18" s="1"/>
  <c r="R133" i="18" s="1"/>
  <c r="F133" i="18"/>
  <c r="B133" i="18"/>
  <c r="AJ132" i="18"/>
  <c r="I132" i="18"/>
  <c r="H132" i="18"/>
  <c r="Q132" i="18" s="1"/>
  <c r="F132" i="18"/>
  <c r="B132" i="18"/>
  <c r="AJ131" i="18"/>
  <c r="I131" i="18"/>
  <c r="H131" i="18"/>
  <c r="Q131" i="18" s="1"/>
  <c r="R131" i="18" s="1"/>
  <c r="F131" i="18"/>
  <c r="B131" i="18"/>
  <c r="AJ130" i="18"/>
  <c r="I130" i="18"/>
  <c r="H130" i="18"/>
  <c r="Q130" i="18" s="1"/>
  <c r="R130" i="18" s="1"/>
  <c r="F130" i="18"/>
  <c r="B130" i="18"/>
  <c r="AJ129" i="18"/>
  <c r="I129" i="18"/>
  <c r="H129" i="18"/>
  <c r="Q129" i="18" s="1"/>
  <c r="R129" i="18" s="1"/>
  <c r="F129" i="18"/>
  <c r="B129" i="18"/>
  <c r="AJ128" i="18"/>
  <c r="I128" i="18"/>
  <c r="H128" i="18"/>
  <c r="Q128" i="18" s="1"/>
  <c r="R128" i="18" s="1"/>
  <c r="F128" i="18"/>
  <c r="B128" i="18"/>
  <c r="AJ126" i="18"/>
  <c r="AJ125" i="18" s="1"/>
  <c r="I126" i="18"/>
  <c r="H126" i="18"/>
  <c r="Q126" i="18" s="1"/>
  <c r="R126" i="18" s="1"/>
  <c r="F126" i="18"/>
  <c r="B126" i="18"/>
  <c r="B127" i="18" s="1"/>
  <c r="AL125" i="18"/>
  <c r="AL126" i="18" s="1"/>
  <c r="P125" i="18"/>
  <c r="G125" i="18"/>
  <c r="AJ124" i="18"/>
  <c r="I124" i="18"/>
  <c r="H124" i="18"/>
  <c r="Q124" i="18" s="1"/>
  <c r="R124" i="18" s="1"/>
  <c r="F124" i="18"/>
  <c r="B124" i="18"/>
  <c r="J118" i="18"/>
  <c r="AJ123" i="18"/>
  <c r="I123" i="18"/>
  <c r="H123" i="18"/>
  <c r="Q123" i="18" s="1"/>
  <c r="F123" i="18"/>
  <c r="B123" i="18"/>
  <c r="AJ122" i="18"/>
  <c r="I122" i="18"/>
  <c r="H122" i="18"/>
  <c r="Q122" i="18" s="1"/>
  <c r="F122" i="18"/>
  <c r="B122" i="18"/>
  <c r="AJ121" i="18"/>
  <c r="I121" i="18"/>
  <c r="H121" i="18"/>
  <c r="Q121" i="18" s="1"/>
  <c r="F121" i="18"/>
  <c r="B121" i="18"/>
  <c r="AJ119" i="18"/>
  <c r="AJ118" i="18" s="1"/>
  <c r="I119" i="18"/>
  <c r="H119" i="18"/>
  <c r="Q119" i="18" s="1"/>
  <c r="R119" i="18" s="1"/>
  <c r="F119" i="18"/>
  <c r="B119" i="18"/>
  <c r="B120" i="18" s="1"/>
  <c r="AL118" i="18"/>
  <c r="AL119" i="18" s="1"/>
  <c r="P118" i="18"/>
  <c r="G118" i="18"/>
  <c r="AJ117" i="18"/>
  <c r="I117" i="18"/>
  <c r="H117" i="18"/>
  <c r="Q117" i="18" s="1"/>
  <c r="F117" i="18"/>
  <c r="B117" i="18"/>
  <c r="J111" i="18"/>
  <c r="AJ116" i="18"/>
  <c r="I116" i="18"/>
  <c r="H116" i="18"/>
  <c r="Q116" i="18" s="1"/>
  <c r="R116" i="18" s="1"/>
  <c r="F116" i="18"/>
  <c r="B116" i="18"/>
  <c r="AJ115" i="18"/>
  <c r="I115" i="18"/>
  <c r="H115" i="18"/>
  <c r="Q115" i="18" s="1"/>
  <c r="R115" i="18" s="1"/>
  <c r="F115" i="18"/>
  <c r="B115" i="18"/>
  <c r="AJ114" i="18"/>
  <c r="I114" i="18"/>
  <c r="H114" i="18"/>
  <c r="Q114" i="18" s="1"/>
  <c r="F114" i="18"/>
  <c r="B114" i="18"/>
  <c r="AJ112" i="18"/>
  <c r="AJ111" i="18" s="1"/>
  <c r="I112" i="18"/>
  <c r="H112" i="18"/>
  <c r="Q112" i="18" s="1"/>
  <c r="F112" i="18"/>
  <c r="B112" i="18"/>
  <c r="B113" i="18" s="1"/>
  <c r="AL111" i="18"/>
  <c r="AL112" i="18" s="1"/>
  <c r="P111" i="18"/>
  <c r="G111" i="18"/>
  <c r="AJ110" i="18"/>
  <c r="I110" i="18"/>
  <c r="H110" i="18"/>
  <c r="Q110" i="18" s="1"/>
  <c r="F110" i="18"/>
  <c r="B110" i="18"/>
  <c r="J99" i="18"/>
  <c r="AJ109" i="18"/>
  <c r="I109" i="18"/>
  <c r="H109" i="18"/>
  <c r="Q109" i="18" s="1"/>
  <c r="F109" i="18"/>
  <c r="B109" i="18"/>
  <c r="AJ108" i="18"/>
  <c r="I108" i="18"/>
  <c r="H108" i="18"/>
  <c r="Q108" i="18" s="1"/>
  <c r="R108" i="18" s="1"/>
  <c r="F108" i="18"/>
  <c r="B108" i="18"/>
  <c r="AJ107" i="18"/>
  <c r="I107" i="18"/>
  <c r="H107" i="18"/>
  <c r="Q107" i="18" s="1"/>
  <c r="F107" i="18"/>
  <c r="B107" i="18"/>
  <c r="AJ106" i="18"/>
  <c r="I106" i="18"/>
  <c r="H106" i="18"/>
  <c r="Q106" i="18" s="1"/>
  <c r="F106" i="18"/>
  <c r="B106" i="18"/>
  <c r="AJ105" i="18"/>
  <c r="I105" i="18"/>
  <c r="H105" i="18"/>
  <c r="Q105" i="18" s="1"/>
  <c r="R105" i="18" s="1"/>
  <c r="F105" i="18"/>
  <c r="B105" i="18"/>
  <c r="AJ104" i="18"/>
  <c r="I104" i="18"/>
  <c r="H104" i="18"/>
  <c r="Q104" i="18" s="1"/>
  <c r="F104" i="18"/>
  <c r="B104" i="18"/>
  <c r="AJ103" i="18"/>
  <c r="I103" i="18"/>
  <c r="H103" i="18"/>
  <c r="Q103" i="18" s="1"/>
  <c r="R103" i="18" s="1"/>
  <c r="F103" i="18"/>
  <c r="B103" i="18"/>
  <c r="AJ102" i="18"/>
  <c r="I102" i="18"/>
  <c r="H102" i="18"/>
  <c r="Q102" i="18" s="1"/>
  <c r="R102" i="18" s="1"/>
  <c r="F102" i="18"/>
  <c r="B102" i="18"/>
  <c r="AJ100" i="18"/>
  <c r="AJ99" i="18" s="1"/>
  <c r="I100" i="18"/>
  <c r="H100" i="18"/>
  <c r="Q100" i="18" s="1"/>
  <c r="R100" i="18" s="1"/>
  <c r="F100" i="18"/>
  <c r="B100" i="18"/>
  <c r="B101" i="18" s="1"/>
  <c r="AL99" i="18"/>
  <c r="AL100" i="18" s="1"/>
  <c r="P99" i="18"/>
  <c r="G99" i="18"/>
  <c r="AJ98" i="18"/>
  <c r="I98" i="18"/>
  <c r="H98" i="18"/>
  <c r="Q98" i="18" s="1"/>
  <c r="R98" i="18" s="1"/>
  <c r="F98" i="18"/>
  <c r="B98" i="18"/>
  <c r="J89" i="18"/>
  <c r="AJ97" i="18"/>
  <c r="I97" i="18"/>
  <c r="H97" i="18"/>
  <c r="Q97" i="18" s="1"/>
  <c r="F97" i="18"/>
  <c r="B97" i="18"/>
  <c r="AJ96" i="18"/>
  <c r="I96" i="18"/>
  <c r="H96" i="18"/>
  <c r="Q96" i="18" s="1"/>
  <c r="R96" i="18" s="1"/>
  <c r="F96" i="18"/>
  <c r="B96" i="18"/>
  <c r="AJ95" i="18"/>
  <c r="I95" i="18"/>
  <c r="H95" i="18"/>
  <c r="Q95" i="18" s="1"/>
  <c r="R95" i="18" s="1"/>
  <c r="F95" i="18"/>
  <c r="B95" i="18"/>
  <c r="AJ94" i="18"/>
  <c r="I94" i="18"/>
  <c r="H94" i="18"/>
  <c r="Q94" i="18" s="1"/>
  <c r="R94" i="18" s="1"/>
  <c r="F94" i="18"/>
  <c r="B94" i="18"/>
  <c r="AJ93" i="18"/>
  <c r="I93" i="18"/>
  <c r="H93" i="18"/>
  <c r="Q93" i="18" s="1"/>
  <c r="F93" i="18"/>
  <c r="B93" i="18"/>
  <c r="AJ92" i="18"/>
  <c r="I92" i="18"/>
  <c r="H92" i="18"/>
  <c r="Q92" i="18" s="1"/>
  <c r="F92" i="18"/>
  <c r="B92" i="18"/>
  <c r="AJ90" i="18"/>
  <c r="AJ89" i="18" s="1"/>
  <c r="I90" i="18"/>
  <c r="H90" i="18"/>
  <c r="Q90" i="18" s="1"/>
  <c r="F90" i="18"/>
  <c r="B90" i="18"/>
  <c r="B91" i="18" s="1"/>
  <c r="AL89" i="18"/>
  <c r="AL90" i="18" s="1"/>
  <c r="P89" i="18"/>
  <c r="G89" i="18"/>
  <c r="AJ88" i="18"/>
  <c r="I88" i="18"/>
  <c r="H88" i="18"/>
  <c r="Q88" i="18" s="1"/>
  <c r="R88" i="18" s="1"/>
  <c r="F88" i="18"/>
  <c r="B88" i="18"/>
  <c r="J80" i="18"/>
  <c r="AJ87" i="18"/>
  <c r="I87" i="18"/>
  <c r="H87" i="18"/>
  <c r="Q87" i="18" s="1"/>
  <c r="F87" i="18"/>
  <c r="B87" i="18"/>
  <c r="AJ86" i="18"/>
  <c r="I86" i="18"/>
  <c r="H86" i="18"/>
  <c r="Q86" i="18" s="1"/>
  <c r="R86" i="18" s="1"/>
  <c r="F86" i="18"/>
  <c r="B86" i="18"/>
  <c r="AJ85" i="18"/>
  <c r="I85" i="18"/>
  <c r="H85" i="18"/>
  <c r="Q85" i="18" s="1"/>
  <c r="R85" i="18" s="1"/>
  <c r="F85" i="18"/>
  <c r="B85" i="18"/>
  <c r="AJ84" i="18"/>
  <c r="I84" i="18"/>
  <c r="H84" i="18"/>
  <c r="Q84" i="18" s="1"/>
  <c r="F84" i="18"/>
  <c r="B84" i="18"/>
  <c r="AJ83" i="18"/>
  <c r="I83" i="18"/>
  <c r="H83" i="18"/>
  <c r="Q83" i="18" s="1"/>
  <c r="R83" i="18" s="1"/>
  <c r="F83" i="18"/>
  <c r="B83" i="18"/>
  <c r="AJ81" i="18"/>
  <c r="AJ80" i="18" s="1"/>
  <c r="I81" i="18"/>
  <c r="H81" i="18"/>
  <c r="Q81" i="18" s="1"/>
  <c r="F81" i="18"/>
  <c r="B81" i="18"/>
  <c r="B82" i="18" s="1"/>
  <c r="AL80" i="18"/>
  <c r="AL81" i="18" s="1"/>
  <c r="P80" i="18"/>
  <c r="G80" i="18"/>
  <c r="AJ79" i="18"/>
  <c r="I79" i="18"/>
  <c r="H79" i="18"/>
  <c r="Q79" i="18" s="1"/>
  <c r="F79" i="18"/>
  <c r="B79" i="18"/>
  <c r="J77" i="18"/>
  <c r="AJ78" i="18"/>
  <c r="AJ77" i="18" s="1"/>
  <c r="I78" i="18"/>
  <c r="H78" i="18"/>
  <c r="Q78" i="18" s="1"/>
  <c r="F78" i="18"/>
  <c r="F77" i="18" s="1"/>
  <c r="B78" i="18"/>
  <c r="AL77" i="18"/>
  <c r="AL78" i="18" s="1"/>
  <c r="AL79" i="18" s="1"/>
  <c r="P77" i="18"/>
  <c r="P79" i="18" s="1"/>
  <c r="G77" i="18"/>
  <c r="AJ76" i="18"/>
  <c r="I76" i="18"/>
  <c r="H76" i="18"/>
  <c r="Q76" i="18" s="1"/>
  <c r="R76" i="18" s="1"/>
  <c r="F76" i="18"/>
  <c r="B76" i="18"/>
  <c r="J74" i="18"/>
  <c r="AJ75" i="18"/>
  <c r="AJ74" i="18" s="1"/>
  <c r="I75" i="18"/>
  <c r="H75" i="18"/>
  <c r="Q75" i="18" s="1"/>
  <c r="F75" i="18"/>
  <c r="B75" i="18"/>
  <c r="AL74" i="18"/>
  <c r="AL75" i="18" s="1"/>
  <c r="AL76" i="18" s="1"/>
  <c r="P74" i="18"/>
  <c r="P76" i="18" s="1"/>
  <c r="G74" i="18"/>
  <c r="AJ73" i="18"/>
  <c r="I73" i="18"/>
  <c r="H73" i="18"/>
  <c r="Q73" i="18" s="1"/>
  <c r="R73" i="18" s="1"/>
  <c r="F73" i="18"/>
  <c r="B73" i="18"/>
  <c r="J70" i="18"/>
  <c r="AJ72" i="18"/>
  <c r="I72" i="18"/>
  <c r="H72" i="18"/>
  <c r="Q72" i="18" s="1"/>
  <c r="R72" i="18" s="1"/>
  <c r="F72" i="18"/>
  <c r="B72" i="18"/>
  <c r="AJ71" i="18"/>
  <c r="AJ70" i="18" s="1"/>
  <c r="I71" i="18"/>
  <c r="H71" i="18"/>
  <c r="Q71" i="18" s="1"/>
  <c r="R71" i="18" s="1"/>
  <c r="F71" i="18"/>
  <c r="F70" i="18" s="1"/>
  <c r="B71" i="18"/>
  <c r="AL70" i="18"/>
  <c r="AL71" i="18" s="1"/>
  <c r="AL72" i="18" s="1"/>
  <c r="AL73" i="18" s="1"/>
  <c r="P70" i="18"/>
  <c r="P72" i="18" s="1"/>
  <c r="G70" i="18"/>
  <c r="AJ69" i="18"/>
  <c r="I69" i="18"/>
  <c r="H69" i="18"/>
  <c r="Q69" i="18" s="1"/>
  <c r="F69" i="18"/>
  <c r="B69" i="18"/>
  <c r="J66" i="18"/>
  <c r="AJ68" i="18"/>
  <c r="I68" i="18"/>
  <c r="H68" i="18"/>
  <c r="Q68" i="18" s="1"/>
  <c r="F68" i="18"/>
  <c r="B68" i="18"/>
  <c r="AJ67" i="18"/>
  <c r="AJ66" i="18" s="1"/>
  <c r="I67" i="18"/>
  <c r="H67" i="18"/>
  <c r="Q67" i="18" s="1"/>
  <c r="R67" i="18" s="1"/>
  <c r="F67" i="18"/>
  <c r="B67" i="18"/>
  <c r="AL66" i="18"/>
  <c r="AL67" i="18" s="1"/>
  <c r="AL68" i="18" s="1"/>
  <c r="AL69" i="18" s="1"/>
  <c r="P66" i="18"/>
  <c r="P69" i="18" s="1"/>
  <c r="G66" i="18"/>
  <c r="AJ65" i="18"/>
  <c r="I65" i="18"/>
  <c r="H65" i="18"/>
  <c r="Q65" i="18" s="1"/>
  <c r="R65" i="18" s="1"/>
  <c r="F65" i="18"/>
  <c r="B65" i="18"/>
  <c r="J62" i="18"/>
  <c r="AJ64" i="18"/>
  <c r="I64" i="18"/>
  <c r="H64" i="18"/>
  <c r="Q64" i="18" s="1"/>
  <c r="F64" i="18"/>
  <c r="B64" i="18"/>
  <c r="AJ63" i="18"/>
  <c r="AJ62" i="18" s="1"/>
  <c r="I63" i="18"/>
  <c r="H63" i="18"/>
  <c r="Q63" i="18" s="1"/>
  <c r="R63" i="18" s="1"/>
  <c r="F63" i="18"/>
  <c r="B63" i="18"/>
  <c r="AL62" i="18"/>
  <c r="AL63" i="18" s="1"/>
  <c r="AL64" i="18" s="1"/>
  <c r="AL65" i="18" s="1"/>
  <c r="P62" i="18"/>
  <c r="P65" i="18" s="1"/>
  <c r="G62" i="18"/>
  <c r="AJ61" i="18"/>
  <c r="I61" i="18"/>
  <c r="H61" i="18"/>
  <c r="Q61" i="18" s="1"/>
  <c r="R61" i="18" s="1"/>
  <c r="F61" i="18"/>
  <c r="B61" i="18"/>
  <c r="J59" i="18"/>
  <c r="AJ60" i="18"/>
  <c r="AJ59" i="18" s="1"/>
  <c r="I60" i="18"/>
  <c r="H60" i="18"/>
  <c r="Q60" i="18" s="1"/>
  <c r="F60" i="18"/>
  <c r="B60" i="18"/>
  <c r="AL59" i="18"/>
  <c r="AL60" i="18" s="1"/>
  <c r="AL61" i="18" s="1"/>
  <c r="P59" i="18"/>
  <c r="P61" i="18" s="1"/>
  <c r="G59" i="18"/>
  <c r="AJ58" i="18"/>
  <c r="I58" i="18"/>
  <c r="H58" i="18"/>
  <c r="Q58" i="18" s="1"/>
  <c r="R58" i="18" s="1"/>
  <c r="F58" i="18"/>
  <c r="B58" i="18"/>
  <c r="J54" i="18"/>
  <c r="AJ57" i="18"/>
  <c r="I57" i="18"/>
  <c r="H57" i="18"/>
  <c r="Q57" i="18" s="1"/>
  <c r="R57" i="18" s="1"/>
  <c r="F57" i="18"/>
  <c r="B57" i="18"/>
  <c r="AJ56" i="18"/>
  <c r="I56" i="18"/>
  <c r="H56" i="18"/>
  <c r="Q56" i="18" s="1"/>
  <c r="R56" i="18" s="1"/>
  <c r="F56" i="18"/>
  <c r="B56" i="18"/>
  <c r="AJ55" i="18"/>
  <c r="AJ54" i="18" s="1"/>
  <c r="I55" i="18"/>
  <c r="H55" i="18"/>
  <c r="Q55" i="18" s="1"/>
  <c r="R55" i="18" s="1"/>
  <c r="F55" i="18"/>
  <c r="B55" i="18"/>
  <c r="AL54" i="18"/>
  <c r="AL55" i="18" s="1"/>
  <c r="AL56" i="18" s="1"/>
  <c r="AL57" i="18" s="1"/>
  <c r="AL58" i="18" s="1"/>
  <c r="P54" i="18"/>
  <c r="P57" i="18" s="1"/>
  <c r="G54" i="18"/>
  <c r="AJ53" i="18"/>
  <c r="AJ52" i="18" s="1"/>
  <c r="I53" i="18"/>
  <c r="H53" i="18"/>
  <c r="Q53" i="18" s="1"/>
  <c r="F53" i="18"/>
  <c r="B53" i="18"/>
  <c r="J52" i="18"/>
  <c r="AL52" i="18"/>
  <c r="AL53" i="18" s="1"/>
  <c r="P52" i="18"/>
  <c r="P53" i="18" s="1"/>
  <c r="G52" i="18"/>
  <c r="AJ51" i="18"/>
  <c r="I51" i="18"/>
  <c r="H51" i="18"/>
  <c r="Q51" i="18" s="1"/>
  <c r="R51" i="18" s="1"/>
  <c r="F51" i="18"/>
  <c r="B51" i="18"/>
  <c r="J49" i="18"/>
  <c r="AJ50" i="18"/>
  <c r="AJ49" i="18" s="1"/>
  <c r="I50" i="18"/>
  <c r="H50" i="18"/>
  <c r="Q50" i="18" s="1"/>
  <c r="F50" i="18"/>
  <c r="F49" i="18" s="1"/>
  <c r="B50" i="18"/>
  <c r="AL49" i="18"/>
  <c r="AL50" i="18" s="1"/>
  <c r="AL51" i="18" s="1"/>
  <c r="P49" i="18"/>
  <c r="P51" i="18" s="1"/>
  <c r="G49" i="18"/>
  <c r="AJ48" i="18"/>
  <c r="I48" i="18"/>
  <c r="H48" i="18"/>
  <c r="Q48" i="18" s="1"/>
  <c r="F48" i="18"/>
  <c r="B48" i="18"/>
  <c r="J44" i="18"/>
  <c r="AJ47" i="18"/>
  <c r="I47" i="18"/>
  <c r="H47" i="18"/>
  <c r="Q47" i="18" s="1"/>
  <c r="F47" i="18"/>
  <c r="B47" i="18"/>
  <c r="AJ46" i="18"/>
  <c r="I46" i="18"/>
  <c r="H46" i="18"/>
  <c r="Q46" i="18" s="1"/>
  <c r="R46" i="18" s="1"/>
  <c r="F46" i="18"/>
  <c r="B46" i="18"/>
  <c r="AJ45" i="18"/>
  <c r="AJ44" i="18" s="1"/>
  <c r="I45" i="18"/>
  <c r="H45" i="18"/>
  <c r="Q45" i="18" s="1"/>
  <c r="R45" i="18" s="1"/>
  <c r="F45" i="18"/>
  <c r="B45" i="18"/>
  <c r="AL44" i="18"/>
  <c r="AL45" i="18" s="1"/>
  <c r="AL46" i="18" s="1"/>
  <c r="AL47" i="18" s="1"/>
  <c r="AL48" i="18" s="1"/>
  <c r="P44" i="18"/>
  <c r="P48" i="18" s="1"/>
  <c r="G44" i="18"/>
  <c r="AJ43" i="18"/>
  <c r="I43" i="18"/>
  <c r="H43" i="18"/>
  <c r="Q43" i="18" s="1"/>
  <c r="F43" i="18"/>
  <c r="B43" i="18"/>
  <c r="J33" i="18"/>
  <c r="AJ42" i="18"/>
  <c r="I42" i="18"/>
  <c r="H42" i="18"/>
  <c r="Q42" i="18" s="1"/>
  <c r="R42" i="18" s="1"/>
  <c r="F42" i="18"/>
  <c r="B42" i="18"/>
  <c r="AJ41" i="18"/>
  <c r="I41" i="18"/>
  <c r="H41" i="18"/>
  <c r="Q41" i="18" s="1"/>
  <c r="R41" i="18" s="1"/>
  <c r="F41" i="18"/>
  <c r="B41" i="18"/>
  <c r="AJ40" i="18"/>
  <c r="I40" i="18"/>
  <c r="H40" i="18"/>
  <c r="Q40" i="18" s="1"/>
  <c r="R40" i="18" s="1"/>
  <c r="F40" i="18"/>
  <c r="B40" i="18"/>
  <c r="AJ39" i="18"/>
  <c r="I39" i="18"/>
  <c r="H39" i="18"/>
  <c r="Q39" i="18" s="1"/>
  <c r="R39" i="18" s="1"/>
  <c r="F39" i="18"/>
  <c r="B39" i="18"/>
  <c r="AJ38" i="18"/>
  <c r="I38" i="18"/>
  <c r="H38" i="18"/>
  <c r="Q38" i="18" s="1"/>
  <c r="F38" i="18"/>
  <c r="B38" i="18"/>
  <c r="AJ37" i="18"/>
  <c r="I37" i="18"/>
  <c r="H37" i="18"/>
  <c r="Q37" i="18" s="1"/>
  <c r="R37" i="18" s="1"/>
  <c r="F37" i="18"/>
  <c r="B37" i="18"/>
  <c r="AJ36" i="18"/>
  <c r="I36" i="18"/>
  <c r="H36" i="18"/>
  <c r="Q36" i="18" s="1"/>
  <c r="R36" i="18" s="1"/>
  <c r="F36" i="18"/>
  <c r="B36" i="18"/>
  <c r="AJ34" i="18"/>
  <c r="AJ33" i="18" s="1"/>
  <c r="I34" i="18"/>
  <c r="H34" i="18"/>
  <c r="Q34" i="18" s="1"/>
  <c r="R34" i="18" s="1"/>
  <c r="F34" i="18"/>
  <c r="B34" i="18"/>
  <c r="B35" i="18" s="1"/>
  <c r="AL33" i="18"/>
  <c r="AL34" i="18" s="1"/>
  <c r="P33" i="18"/>
  <c r="G33" i="18"/>
  <c r="AJ32" i="18"/>
  <c r="I32" i="18"/>
  <c r="H32" i="18"/>
  <c r="Q32" i="18" s="1"/>
  <c r="F32" i="18"/>
  <c r="B32" i="18"/>
  <c r="J26" i="18"/>
  <c r="AJ31" i="18"/>
  <c r="I31" i="18"/>
  <c r="H31" i="18"/>
  <c r="Q31" i="18" s="1"/>
  <c r="F31" i="18"/>
  <c r="B31" i="18"/>
  <c r="AJ30" i="18"/>
  <c r="I30" i="18"/>
  <c r="H30" i="18"/>
  <c r="Q30" i="18" s="1"/>
  <c r="F30" i="18"/>
  <c r="B30" i="18"/>
  <c r="AJ29" i="18"/>
  <c r="I29" i="18"/>
  <c r="H29" i="18"/>
  <c r="Q29" i="18" s="1"/>
  <c r="F29" i="18"/>
  <c r="B29" i="18"/>
  <c r="AJ27" i="18"/>
  <c r="AJ26" i="18" s="1"/>
  <c r="I27" i="18"/>
  <c r="H27" i="18"/>
  <c r="Q27" i="18" s="1"/>
  <c r="R27" i="18" s="1"/>
  <c r="F27" i="18"/>
  <c r="B27" i="18"/>
  <c r="B28" i="18" s="1"/>
  <c r="AL26" i="18"/>
  <c r="AL27" i="18" s="1"/>
  <c r="P26" i="18"/>
  <c r="G26" i="18"/>
  <c r="AJ25" i="18"/>
  <c r="I25" i="18"/>
  <c r="H25" i="18"/>
  <c r="Q25" i="18" s="1"/>
  <c r="F25" i="18"/>
  <c r="B25" i="18"/>
  <c r="J21" i="18"/>
  <c r="AJ24" i="18"/>
  <c r="I24" i="18"/>
  <c r="H24" i="18"/>
  <c r="Q24" i="18" s="1"/>
  <c r="F24" i="18"/>
  <c r="B24" i="18"/>
  <c r="AJ22" i="18"/>
  <c r="AJ21" i="18" s="1"/>
  <c r="I22" i="18"/>
  <c r="H22" i="18"/>
  <c r="Q22" i="18" s="1"/>
  <c r="R22" i="18" s="1"/>
  <c r="F22" i="18"/>
  <c r="B22" i="18"/>
  <c r="B23" i="18" s="1"/>
  <c r="AL21" i="18"/>
  <c r="AL22" i="18" s="1"/>
  <c r="P21" i="18"/>
  <c r="G21" i="18"/>
  <c r="AJ20" i="18"/>
  <c r="I20" i="18"/>
  <c r="H20" i="18"/>
  <c r="Q20" i="18" s="1"/>
  <c r="F20" i="18"/>
  <c r="B20" i="18"/>
  <c r="J10" i="18"/>
  <c r="AJ19" i="18"/>
  <c r="I19" i="18"/>
  <c r="H19" i="18"/>
  <c r="Q19" i="18" s="1"/>
  <c r="R19" i="18" s="1"/>
  <c r="F19" i="18"/>
  <c r="B19" i="18"/>
  <c r="AJ18" i="18"/>
  <c r="I18" i="18"/>
  <c r="H18" i="18"/>
  <c r="Q18" i="18" s="1"/>
  <c r="R18" i="18" s="1"/>
  <c r="F18" i="18"/>
  <c r="B18" i="18"/>
  <c r="AJ17" i="18"/>
  <c r="I17" i="18"/>
  <c r="H17" i="18"/>
  <c r="Q17" i="18" s="1"/>
  <c r="F17" i="18"/>
  <c r="B17" i="18"/>
  <c r="AJ16" i="18"/>
  <c r="I16" i="18"/>
  <c r="H16" i="18"/>
  <c r="Q16" i="18" s="1"/>
  <c r="R16" i="18" s="1"/>
  <c r="F16" i="18"/>
  <c r="B16" i="18"/>
  <c r="AJ15" i="18"/>
  <c r="I15" i="18"/>
  <c r="H15" i="18"/>
  <c r="Q15" i="18" s="1"/>
  <c r="F15" i="18"/>
  <c r="B15" i="18"/>
  <c r="AJ14" i="18"/>
  <c r="I14" i="18"/>
  <c r="H14" i="18"/>
  <c r="Q14" i="18" s="1"/>
  <c r="R14" i="18" s="1"/>
  <c r="F14" i="18"/>
  <c r="B14" i="18"/>
  <c r="AJ13" i="18"/>
  <c r="I13" i="18"/>
  <c r="H13" i="18"/>
  <c r="Q13" i="18" s="1"/>
  <c r="F13" i="18"/>
  <c r="B13" i="18"/>
  <c r="AJ11" i="18"/>
  <c r="AJ10" i="18" s="1"/>
  <c r="I11" i="18"/>
  <c r="H11" i="18"/>
  <c r="Q11" i="18" s="1"/>
  <c r="F11" i="18"/>
  <c r="B11" i="18"/>
  <c r="B12" i="18" s="1"/>
  <c r="AL10" i="18"/>
  <c r="AL11" i="18" s="1"/>
  <c r="P10" i="18"/>
  <c r="G10" i="18"/>
  <c r="AJ9" i="18"/>
  <c r="AJ8" i="18" s="1"/>
  <c r="I9" i="18"/>
  <c r="H9" i="18"/>
  <c r="Q9" i="18" s="1"/>
  <c r="R9" i="18" s="1"/>
  <c r="R8" i="18" s="1"/>
  <c r="F9" i="18"/>
  <c r="F8" i="18" s="1"/>
  <c r="B9" i="18"/>
  <c r="J8" i="18"/>
  <c r="AL8" i="18"/>
  <c r="AL9" i="18" s="1"/>
  <c r="P8" i="18"/>
  <c r="P9" i="18" s="1"/>
  <c r="G8" i="18"/>
  <c r="AJ7" i="18"/>
  <c r="AJ6" i="18" s="1"/>
  <c r="I7" i="18"/>
  <c r="H7" i="18"/>
  <c r="Q7" i="18" s="1"/>
  <c r="F7" i="18"/>
  <c r="F6" i="18" s="1"/>
  <c r="B7" i="18"/>
  <c r="J6" i="18"/>
  <c r="AL6" i="18"/>
  <c r="AL7" i="18" s="1"/>
  <c r="P6" i="18"/>
  <c r="P7" i="18" s="1"/>
  <c r="G6" i="18"/>
  <c r="E7" i="23"/>
  <c r="A66" i="24"/>
  <c r="A67" i="24"/>
  <c r="A68" i="24"/>
  <c r="A69" i="24"/>
  <c r="A70" i="24"/>
  <c r="A71" i="24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29" i="24"/>
  <c r="A30" i="24"/>
  <c r="A31" i="24" s="1"/>
  <c r="A32" i="24"/>
  <c r="A33" i="24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26" i="24"/>
  <c r="A22" i="24"/>
  <c r="A23" i="24" s="1"/>
  <c r="A24" i="24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P156" i="18" l="1"/>
  <c r="P155" i="18"/>
  <c r="AL156" i="18"/>
  <c r="AL157" i="18" s="1"/>
  <c r="AL158" i="18" s="1"/>
  <c r="AL159" i="18" s="1"/>
  <c r="AL160" i="18" s="1"/>
  <c r="AL161" i="18" s="1"/>
  <c r="AL162" i="18" s="1"/>
  <c r="AL155" i="18"/>
  <c r="AL138" i="18"/>
  <c r="AL139" i="18" s="1"/>
  <c r="AL140" i="18" s="1"/>
  <c r="AL141" i="18" s="1"/>
  <c r="AL142" i="18" s="1"/>
  <c r="AL143" i="18" s="1"/>
  <c r="AL144" i="18" s="1"/>
  <c r="AL145" i="18" s="1"/>
  <c r="AL137" i="18"/>
  <c r="P152" i="18"/>
  <c r="P148" i="18"/>
  <c r="P140" i="18"/>
  <c r="P137" i="18"/>
  <c r="AL149" i="18"/>
  <c r="AL150" i="18" s="1"/>
  <c r="AL151" i="18" s="1"/>
  <c r="AL152" i="18" s="1"/>
  <c r="AL148" i="18"/>
  <c r="P126" i="18"/>
  <c r="P127" i="18"/>
  <c r="AL128" i="18"/>
  <c r="AL129" i="18" s="1"/>
  <c r="AL130" i="18" s="1"/>
  <c r="AL131" i="18" s="1"/>
  <c r="AL132" i="18" s="1"/>
  <c r="AL133" i="18" s="1"/>
  <c r="AL134" i="18" s="1"/>
  <c r="AL127" i="18"/>
  <c r="P122" i="18"/>
  <c r="P120" i="18"/>
  <c r="AL121" i="18"/>
  <c r="AL122" i="18" s="1"/>
  <c r="AL123" i="18" s="1"/>
  <c r="AL124" i="18" s="1"/>
  <c r="AL120" i="18"/>
  <c r="P114" i="18"/>
  <c r="P113" i="18"/>
  <c r="AL114" i="18"/>
  <c r="AL115" i="18" s="1"/>
  <c r="AL116" i="18" s="1"/>
  <c r="AL117" i="18" s="1"/>
  <c r="AL113" i="18"/>
  <c r="AL102" i="18"/>
  <c r="AL103" i="18" s="1"/>
  <c r="AL104" i="18" s="1"/>
  <c r="AL105" i="18" s="1"/>
  <c r="AL106" i="18" s="1"/>
  <c r="AL107" i="18" s="1"/>
  <c r="AL108" i="18" s="1"/>
  <c r="AL109" i="18" s="1"/>
  <c r="AL110" i="18" s="1"/>
  <c r="AL101" i="18"/>
  <c r="P107" i="18"/>
  <c r="P101" i="18"/>
  <c r="P98" i="18"/>
  <c r="P91" i="18"/>
  <c r="AL92" i="18"/>
  <c r="AL93" i="18" s="1"/>
  <c r="AL94" i="18" s="1"/>
  <c r="AL95" i="18" s="1"/>
  <c r="AL96" i="18" s="1"/>
  <c r="AL97" i="18" s="1"/>
  <c r="AL98" i="18" s="1"/>
  <c r="AL91" i="18"/>
  <c r="AL83" i="18"/>
  <c r="AL84" i="18" s="1"/>
  <c r="AL85" i="18" s="1"/>
  <c r="AL86" i="18" s="1"/>
  <c r="AL87" i="18" s="1"/>
  <c r="AL88" i="18" s="1"/>
  <c r="AL82" i="18"/>
  <c r="P83" i="18"/>
  <c r="P82" i="18"/>
  <c r="AL36" i="18"/>
  <c r="AL37" i="18" s="1"/>
  <c r="AL38" i="18" s="1"/>
  <c r="AL39" i="18" s="1"/>
  <c r="AL40" i="18" s="1"/>
  <c r="AL41" i="18" s="1"/>
  <c r="AL42" i="18" s="1"/>
  <c r="AL43" i="18" s="1"/>
  <c r="AL35" i="18"/>
  <c r="P43" i="18"/>
  <c r="P35" i="18"/>
  <c r="P29" i="18"/>
  <c r="P28" i="18"/>
  <c r="A7" i="23"/>
  <c r="B7" i="23" s="1"/>
  <c r="AL29" i="18"/>
  <c r="AL30" i="18" s="1"/>
  <c r="AL31" i="18" s="1"/>
  <c r="AL32" i="18" s="1"/>
  <c r="AL28" i="18"/>
  <c r="AL24" i="18"/>
  <c r="AL25" i="18" s="1"/>
  <c r="AL23" i="18"/>
  <c r="P25" i="18"/>
  <c r="P23" i="18"/>
  <c r="P14" i="18"/>
  <c r="P12" i="18"/>
  <c r="AL13" i="18"/>
  <c r="AL14" i="18" s="1"/>
  <c r="AL15" i="18" s="1"/>
  <c r="AL16" i="18" s="1"/>
  <c r="AL17" i="18" s="1"/>
  <c r="AL18" i="18" s="1"/>
  <c r="AL19" i="18" s="1"/>
  <c r="AL20" i="18" s="1"/>
  <c r="AL12" i="18"/>
  <c r="P145" i="18"/>
  <c r="P32" i="18"/>
  <c r="P30" i="18"/>
  <c r="P27" i="18"/>
  <c r="S27" i="18" s="1"/>
  <c r="T8" i="18"/>
  <c r="P20" i="18"/>
  <c r="P31" i="18"/>
  <c r="F153" i="18"/>
  <c r="P160" i="18"/>
  <c r="P102" i="18"/>
  <c r="S102" i="18" s="1"/>
  <c r="P131" i="18"/>
  <c r="P78" i="18"/>
  <c r="P60" i="18"/>
  <c r="P75" i="18"/>
  <c r="F10" i="18"/>
  <c r="P19" i="18"/>
  <c r="S19" i="18" s="1"/>
  <c r="P87" i="18"/>
  <c r="P84" i="18"/>
  <c r="P88" i="18"/>
  <c r="S88" i="18" s="1"/>
  <c r="F62" i="18"/>
  <c r="P45" i="18"/>
  <c r="P46" i="18"/>
  <c r="F33" i="18"/>
  <c r="P47" i="18"/>
  <c r="F59" i="18"/>
  <c r="R68" i="18"/>
  <c r="R121" i="18"/>
  <c r="P124" i="18"/>
  <c r="S124" i="18" s="1"/>
  <c r="P121" i="18"/>
  <c r="P40" i="18"/>
  <c r="P38" i="18"/>
  <c r="P34" i="18"/>
  <c r="S7" i="18"/>
  <c r="R17" i="18"/>
  <c r="P68" i="18"/>
  <c r="P67" i="18"/>
  <c r="P110" i="18"/>
  <c r="P109" i="18"/>
  <c r="P108" i="18"/>
  <c r="S79" i="18"/>
  <c r="R79" i="18"/>
  <c r="P139" i="18"/>
  <c r="P136" i="18"/>
  <c r="P144" i="18"/>
  <c r="P143" i="18"/>
  <c r="P138" i="18"/>
  <c r="P11" i="18"/>
  <c r="P16" i="18"/>
  <c r="S9" i="18"/>
  <c r="P15" i="18"/>
  <c r="P141" i="18"/>
  <c r="P17" i="18"/>
  <c r="R20" i="18"/>
  <c r="R47" i="18"/>
  <c r="P162" i="18"/>
  <c r="P154" i="18"/>
  <c r="P115" i="18"/>
  <c r="P142" i="18"/>
  <c r="S53" i="18"/>
  <c r="S51" i="18"/>
  <c r="P81" i="18"/>
  <c r="P86" i="18"/>
  <c r="P85" i="18"/>
  <c r="R11" i="18"/>
  <c r="R30" i="18"/>
  <c r="F52" i="18"/>
  <c r="F66" i="18"/>
  <c r="F118" i="18"/>
  <c r="P147" i="18"/>
  <c r="P24" i="18"/>
  <c r="F26" i="18"/>
  <c r="R15" i="18"/>
  <c r="S61" i="18"/>
  <c r="R87" i="18"/>
  <c r="R104" i="18"/>
  <c r="R32" i="18"/>
  <c r="R50" i="18"/>
  <c r="R49" i="18" s="1"/>
  <c r="R139" i="18"/>
  <c r="R97" i="18"/>
  <c r="P64" i="18"/>
  <c r="P63" i="18"/>
  <c r="R112" i="18"/>
  <c r="R29" i="18"/>
  <c r="R106" i="18"/>
  <c r="R53" i="18"/>
  <c r="R52" i="18" s="1"/>
  <c r="R75" i="18"/>
  <c r="R74" i="18" s="1"/>
  <c r="R107" i="18"/>
  <c r="R156" i="18"/>
  <c r="P97" i="18"/>
  <c r="P92" i="18"/>
  <c r="P94" i="18"/>
  <c r="P96" i="18"/>
  <c r="P93" i="18"/>
  <c r="P90" i="18"/>
  <c r="P95" i="18"/>
  <c r="R149" i="18"/>
  <c r="R150" i="18"/>
  <c r="Q8" i="18"/>
  <c r="U8" i="18"/>
  <c r="R25" i="18"/>
  <c r="R31" i="18"/>
  <c r="R38" i="18"/>
  <c r="R122" i="18"/>
  <c r="R24" i="18"/>
  <c r="R161" i="18"/>
  <c r="S48" i="18"/>
  <c r="F54" i="18"/>
  <c r="R132" i="18"/>
  <c r="R125" i="18" s="1"/>
  <c r="R84" i="18"/>
  <c r="R13" i="18"/>
  <c r="R54" i="18"/>
  <c r="R93" i="18"/>
  <c r="R145" i="18"/>
  <c r="R78" i="18"/>
  <c r="P20" i="23"/>
  <c r="A15" i="23"/>
  <c r="S72" i="18"/>
  <c r="R92" i="18"/>
  <c r="P36" i="18"/>
  <c r="P55" i="18"/>
  <c r="S57" i="18"/>
  <c r="R142" i="18"/>
  <c r="S166" i="18"/>
  <c r="R166" i="18"/>
  <c r="R165" i="18" s="1"/>
  <c r="R48" i="18"/>
  <c r="P58" i="18"/>
  <c r="R60" i="18"/>
  <c r="R59" i="18" s="1"/>
  <c r="P73" i="18"/>
  <c r="R164" i="18"/>
  <c r="R163" i="18" s="1"/>
  <c r="S164" i="18"/>
  <c r="R109" i="18"/>
  <c r="F111" i="18"/>
  <c r="F125" i="18"/>
  <c r="R160" i="18"/>
  <c r="P41" i="18"/>
  <c r="R123" i="18"/>
  <c r="P39" i="18"/>
  <c r="R43" i="18"/>
  <c r="P42" i="18"/>
  <c r="R64" i="18"/>
  <c r="R62" i="18" s="1"/>
  <c r="S76" i="18"/>
  <c r="R81" i="18"/>
  <c r="R110" i="18"/>
  <c r="P130" i="18"/>
  <c r="P129" i="18"/>
  <c r="P133" i="18"/>
  <c r="P134" i="18"/>
  <c r="P128" i="18"/>
  <c r="P132" i="18"/>
  <c r="R70" i="18"/>
  <c r="P22" i="18"/>
  <c r="S69" i="18"/>
  <c r="R69" i="18"/>
  <c r="F99" i="18"/>
  <c r="R7" i="18"/>
  <c r="R6" i="18" s="1"/>
  <c r="P18" i="18"/>
  <c r="P37" i="18"/>
  <c r="P56" i="18"/>
  <c r="F21" i="18"/>
  <c r="S65" i="18"/>
  <c r="P13" i="18"/>
  <c r="F44" i="18"/>
  <c r="P50" i="18"/>
  <c r="P71" i="18"/>
  <c r="R151" i="18"/>
  <c r="R90" i="18"/>
  <c r="R152" i="18"/>
  <c r="F80" i="18"/>
  <c r="F89" i="18"/>
  <c r="P105" i="18"/>
  <c r="P104" i="18"/>
  <c r="P100" i="18"/>
  <c r="P103" i="18"/>
  <c r="P106" i="18"/>
  <c r="P117" i="18"/>
  <c r="P116" i="18"/>
  <c r="P112" i="18"/>
  <c r="R136" i="18"/>
  <c r="F74" i="18"/>
  <c r="R117" i="18"/>
  <c r="P119" i="18"/>
  <c r="P123" i="18"/>
  <c r="P149" i="18"/>
  <c r="P151" i="18"/>
  <c r="P150" i="18"/>
  <c r="R154" i="18"/>
  <c r="R114" i="18"/>
  <c r="P158" i="18"/>
  <c r="P157" i="18"/>
  <c r="P159" i="18"/>
  <c r="P161" i="18"/>
  <c r="S107" i="18" l="1"/>
  <c r="S156" i="18"/>
  <c r="S29" i="18"/>
  <c r="S114" i="18"/>
  <c r="S140" i="18"/>
  <c r="S122" i="18"/>
  <c r="S155" i="18"/>
  <c r="S152" i="18"/>
  <c r="S137" i="18"/>
  <c r="S126" i="18"/>
  <c r="S148" i="18"/>
  <c r="S127" i="18"/>
  <c r="S83" i="18"/>
  <c r="S14" i="18"/>
  <c r="S120" i="18"/>
  <c r="S43" i="18"/>
  <c r="S98" i="18"/>
  <c r="S113" i="18"/>
  <c r="S25" i="18"/>
  <c r="S101" i="18"/>
  <c r="S91" i="18"/>
  <c r="S82" i="18"/>
  <c r="S35" i="18"/>
  <c r="S28" i="18"/>
  <c r="S23" i="18"/>
  <c r="S31" i="18"/>
  <c r="S85" i="18"/>
  <c r="S145" i="18"/>
  <c r="S32" i="18"/>
  <c r="S12" i="18"/>
  <c r="R33" i="18"/>
  <c r="Q33" i="18" s="1"/>
  <c r="S20" i="18"/>
  <c r="S139" i="18"/>
  <c r="S15" i="18"/>
  <c r="S160" i="18"/>
  <c r="S30" i="18"/>
  <c r="R77" i="18"/>
  <c r="T77" i="18" s="1"/>
  <c r="S75" i="18"/>
  <c r="S81" i="18"/>
  <c r="S78" i="18"/>
  <c r="S131" i="18"/>
  <c r="S115" i="18"/>
  <c r="S46" i="18"/>
  <c r="S16" i="18"/>
  <c r="S84" i="18"/>
  <c r="S134" i="18"/>
  <c r="S143" i="18"/>
  <c r="S96" i="18"/>
  <c r="S90" i="18"/>
  <c r="S110" i="18"/>
  <c r="S41" i="18"/>
  <c r="S147" i="18"/>
  <c r="S42" i="18"/>
  <c r="S18" i="18"/>
  <c r="S71" i="18"/>
  <c r="S87" i="18"/>
  <c r="S60" i="18"/>
  <c r="S150" i="18"/>
  <c r="R146" i="18"/>
  <c r="Q146" i="18" s="1"/>
  <c r="S117" i="18"/>
  <c r="S138" i="18"/>
  <c r="S17" i="18"/>
  <c r="S94" i="18"/>
  <c r="R66" i="18"/>
  <c r="U66" i="18" s="1"/>
  <c r="S133" i="18"/>
  <c r="S67" i="18"/>
  <c r="S24" i="18"/>
  <c r="S47" i="18"/>
  <c r="S141" i="18"/>
  <c r="S157" i="18"/>
  <c r="S162" i="18"/>
  <c r="S154" i="18"/>
  <c r="S40" i="18"/>
  <c r="R21" i="18"/>
  <c r="U21" i="18" s="1"/>
  <c r="S45" i="18"/>
  <c r="S108" i="18"/>
  <c r="S144" i="18"/>
  <c r="R89" i="18"/>
  <c r="T89" i="18" s="1"/>
  <c r="R80" i="18"/>
  <c r="Q80" i="18" s="1"/>
  <c r="S95" i="18"/>
  <c r="S38" i="18"/>
  <c r="S92" i="18"/>
  <c r="S36" i="18"/>
  <c r="S109" i="18"/>
  <c r="S142" i="18"/>
  <c r="S55" i="18"/>
  <c r="S11" i="18"/>
  <c r="R44" i="18"/>
  <c r="T44" i="18" s="1"/>
  <c r="S161" i="18"/>
  <c r="S86" i="18"/>
  <c r="S123" i="18"/>
  <c r="R10" i="18"/>
  <c r="Q10" i="18" s="1"/>
  <c r="S121" i="18"/>
  <c r="S13" i="18"/>
  <c r="R26" i="18"/>
  <c r="T26" i="18" s="1"/>
  <c r="R99" i="18"/>
  <c r="Q99" i="18" s="1"/>
  <c r="S112" i="18"/>
  <c r="S136" i="18"/>
  <c r="S34" i="18"/>
  <c r="S68" i="18"/>
  <c r="Q74" i="18"/>
  <c r="U74" i="18"/>
  <c r="T74" i="18"/>
  <c r="R111" i="18"/>
  <c r="S22" i="18"/>
  <c r="S119" i="18"/>
  <c r="Q163" i="18"/>
  <c r="U163" i="18"/>
  <c r="T163" i="18"/>
  <c r="T70" i="18"/>
  <c r="U70" i="18"/>
  <c r="Q70" i="18"/>
  <c r="R153" i="18"/>
  <c r="Q6" i="18"/>
  <c r="T6" i="18"/>
  <c r="U6" i="18"/>
  <c r="T62" i="18"/>
  <c r="U62" i="18"/>
  <c r="Q62" i="18"/>
  <c r="S73" i="18"/>
  <c r="V8" i="18"/>
  <c r="V9" i="18"/>
  <c r="S37" i="18"/>
  <c r="S97" i="18"/>
  <c r="U54" i="18"/>
  <c r="Q54" i="18"/>
  <c r="T54" i="18"/>
  <c r="S149" i="18"/>
  <c r="S100" i="18"/>
  <c r="Q52" i="18"/>
  <c r="T52" i="18"/>
  <c r="U52" i="18"/>
  <c r="R135" i="18"/>
  <c r="S63" i="18"/>
  <c r="S130" i="18"/>
  <c r="S64" i="18"/>
  <c r="S132" i="18"/>
  <c r="R118" i="18"/>
  <c r="S103" i="18"/>
  <c r="U165" i="18"/>
  <c r="T165" i="18"/>
  <c r="Q165" i="18"/>
  <c r="S129" i="18"/>
  <c r="S39" i="18"/>
  <c r="S151" i="18"/>
  <c r="S104" i="18"/>
  <c r="S105" i="18"/>
  <c r="S128" i="18"/>
  <c r="T59" i="18"/>
  <c r="Q59" i="18"/>
  <c r="U59" i="18"/>
  <c r="T125" i="18"/>
  <c r="U125" i="18"/>
  <c r="Q125" i="18"/>
  <c r="S158" i="18"/>
  <c r="S159" i="18"/>
  <c r="S116" i="18"/>
  <c r="S93" i="18"/>
  <c r="S56" i="18"/>
  <c r="S106" i="18"/>
  <c r="S50" i="18"/>
  <c r="S58" i="18"/>
  <c r="Q49" i="18"/>
  <c r="U49" i="18"/>
  <c r="T49" i="18"/>
  <c r="U33" i="18" l="1"/>
  <c r="V33" i="18" s="1"/>
  <c r="T33" i="18"/>
  <c r="U77" i="18"/>
  <c r="V79" i="18" s="1"/>
  <c r="Q77" i="18"/>
  <c r="U44" i="18"/>
  <c r="V45" i="18" s="1"/>
  <c r="U89" i="18"/>
  <c r="V95" i="18" s="1"/>
  <c r="Q89" i="18"/>
  <c r="Q44" i="18"/>
  <c r="U26" i="18"/>
  <c r="V26" i="18" s="1"/>
  <c r="Q26" i="18"/>
  <c r="T146" i="18"/>
  <c r="U146" i="18"/>
  <c r="V152" i="18" s="1"/>
  <c r="T80" i="18"/>
  <c r="U80" i="18"/>
  <c r="V88" i="18" s="1"/>
  <c r="T66" i="18"/>
  <c r="T21" i="18"/>
  <c r="T10" i="18"/>
  <c r="Q66" i="18"/>
  <c r="Q21" i="18"/>
  <c r="U99" i="18"/>
  <c r="V105" i="18" s="1"/>
  <c r="T99" i="18"/>
  <c r="U10" i="18"/>
  <c r="V15" i="18" s="1"/>
  <c r="S170" i="18"/>
  <c r="V54" i="18"/>
  <c r="V57" i="18"/>
  <c r="V56" i="18"/>
  <c r="V58" i="18"/>
  <c r="V55" i="18"/>
  <c r="V164" i="18"/>
  <c r="V163" i="18"/>
  <c r="V50" i="18"/>
  <c r="V49" i="18"/>
  <c r="V51" i="18"/>
  <c r="V166" i="18"/>
  <c r="V165" i="18"/>
  <c r="V64" i="18"/>
  <c r="V65" i="18"/>
  <c r="V62" i="18"/>
  <c r="V63" i="18"/>
  <c r="V25" i="18"/>
  <c r="V24" i="18"/>
  <c r="V21" i="18"/>
  <c r="V22" i="18"/>
  <c r="Q153" i="18"/>
  <c r="T153" i="18"/>
  <c r="U153" i="18"/>
  <c r="T111" i="18"/>
  <c r="U111" i="18"/>
  <c r="Q111" i="18"/>
  <c r="V134" i="18"/>
  <c r="V130" i="18"/>
  <c r="V129" i="18"/>
  <c r="V125" i="18"/>
  <c r="V133" i="18"/>
  <c r="V131" i="18"/>
  <c r="V128" i="18"/>
  <c r="V126" i="18"/>
  <c r="V132" i="18"/>
  <c r="V66" i="18"/>
  <c r="V68" i="18"/>
  <c r="V69" i="18"/>
  <c r="V67" i="18"/>
  <c r="V6" i="18"/>
  <c r="V7" i="18"/>
  <c r="V60" i="18"/>
  <c r="V61" i="18"/>
  <c r="V59" i="18"/>
  <c r="U118" i="18"/>
  <c r="T118" i="18"/>
  <c r="Q118" i="18"/>
  <c r="V73" i="18"/>
  <c r="V70" i="18"/>
  <c r="V72" i="18"/>
  <c r="V71" i="18"/>
  <c r="T135" i="18"/>
  <c r="Q135" i="18"/>
  <c r="U135" i="18"/>
  <c r="V76" i="18"/>
  <c r="V74" i="18"/>
  <c r="V75" i="18"/>
  <c r="V52" i="18"/>
  <c r="V53" i="18"/>
  <c r="V97" i="18" l="1"/>
  <c r="V98" i="18"/>
  <c r="V90" i="18"/>
  <c r="V96" i="18"/>
  <c r="V48" i="18"/>
  <c r="V44" i="18"/>
  <c r="V46" i="18"/>
  <c r="V47" i="18"/>
  <c r="V43" i="18"/>
  <c r="V41" i="18"/>
  <c r="V42" i="18"/>
  <c r="V34" i="18"/>
  <c r="V36" i="18"/>
  <c r="V37" i="18"/>
  <c r="V39" i="18"/>
  <c r="V40" i="18"/>
  <c r="V38" i="18"/>
  <c r="V77" i="18"/>
  <c r="V78" i="18"/>
  <c r="V32" i="18"/>
  <c r="V27" i="18"/>
  <c r="V29" i="18"/>
  <c r="V31" i="18"/>
  <c r="V30" i="18"/>
  <c r="V147" i="18"/>
  <c r="V93" i="18"/>
  <c r="V92" i="18"/>
  <c r="V89" i="18"/>
  <c r="V94" i="18"/>
  <c r="V81" i="18"/>
  <c r="V86" i="18"/>
  <c r="V149" i="18"/>
  <c r="V87" i="18"/>
  <c r="V151" i="18"/>
  <c r="V150" i="18"/>
  <c r="V146" i="18"/>
  <c r="V11" i="18"/>
  <c r="V85" i="18"/>
  <c r="V18" i="18"/>
  <c r="V80" i="18"/>
  <c r="V83" i="18"/>
  <c r="V84" i="18"/>
  <c r="V108" i="18"/>
  <c r="V109" i="18"/>
  <c r="V107" i="18"/>
  <c r="V106" i="18"/>
  <c r="V102" i="18"/>
  <c r="V110" i="18"/>
  <c r="V100" i="18"/>
  <c r="V103" i="18"/>
  <c r="V104" i="18"/>
  <c r="V16" i="18"/>
  <c r="V99" i="18"/>
  <c r="V19" i="18"/>
  <c r="V14" i="18"/>
  <c r="V17" i="18"/>
  <c r="V10" i="18"/>
  <c r="V13" i="18"/>
  <c r="V20" i="18"/>
  <c r="T170" i="18"/>
  <c r="V153" i="18"/>
  <c r="V158" i="18"/>
  <c r="V157" i="18"/>
  <c r="V156" i="18"/>
  <c r="V154" i="18"/>
  <c r="V161" i="18"/>
  <c r="V162" i="18"/>
  <c r="V160" i="18"/>
  <c r="V159" i="18"/>
  <c r="V119" i="18"/>
  <c r="V124" i="18"/>
  <c r="V123" i="18"/>
  <c r="V121" i="18"/>
  <c r="V118" i="18"/>
  <c r="V122" i="18"/>
  <c r="V136" i="18"/>
  <c r="V143" i="18"/>
  <c r="V142" i="18"/>
  <c r="V140" i="18"/>
  <c r="V138" i="18"/>
  <c r="V145" i="18"/>
  <c r="V135" i="18"/>
  <c r="V141" i="18"/>
  <c r="V139" i="18"/>
  <c r="V144" i="18"/>
  <c r="V116" i="18"/>
  <c r="V115" i="18"/>
  <c r="V112" i="18"/>
  <c r="V117" i="18"/>
  <c r="V111" i="18"/>
  <c r="V114" i="18"/>
</calcChain>
</file>

<file path=xl/sharedStrings.xml><?xml version="1.0" encoding="utf-8"?>
<sst xmlns="http://schemas.openxmlformats.org/spreadsheetml/2006/main" count="2429" uniqueCount="801">
  <si>
    <t>FACTOR</t>
  </si>
  <si>
    <t>F. ESTRUCTURA</t>
  </si>
  <si>
    <t>F PERNOS</t>
  </si>
  <si>
    <t>GALVANIZADO</t>
  </si>
  <si>
    <t>PINTURA</t>
  </si>
  <si>
    <t>SERIE</t>
  </si>
  <si>
    <t xml:space="preserve">ENTREGA </t>
  </si>
  <si>
    <t>ITEM</t>
  </si>
  <si>
    <t>CODIGO</t>
  </si>
  <si>
    <t>POSICIÓN</t>
  </si>
  <si>
    <t>SECCION</t>
  </si>
  <si>
    <t>TEKLA</t>
  </si>
  <si>
    <t>PESO U</t>
  </si>
  <si>
    <t>CODIGO EKON</t>
  </si>
  <si>
    <t xml:space="preserve">LARGO
( mm )  </t>
  </si>
  <si>
    <t>ANCHO
( mm )</t>
  </si>
  <si>
    <t>AREA TOTAL m2</t>
  </si>
  <si>
    <t>PINTURA UNITARIA m2</t>
  </si>
  <si>
    <t>PINTURA TOTAL m2</t>
  </si>
  <si>
    <t>CANT
( U )</t>
  </si>
  <si>
    <t>CANT
TOTAL</t>
  </si>
  <si>
    <t>PESO PERF
( Kg )</t>
  </si>
  <si>
    <t>PESO UNID
( Kg )</t>
  </si>
  <si>
    <t>PESO TOTAL (kg)</t>
  </si>
  <si>
    <t>PESO T
( Kg )</t>
  </si>
  <si>
    <t>Peso/ml (Kg/ml)</t>
  </si>
  <si>
    <t>CATEGORIA (L, M, P, EP)</t>
  </si>
  <si>
    <t xml:space="preserve">DIST ENTRE        C / C </t>
  </si>
  <si>
    <t>CODIGO DE PERF</t>
  </si>
  <si>
    <t>ø DE PERFORACION</t>
  </si>
  <si>
    <t>DESPUNTE IZQ.</t>
  </si>
  <si>
    <t>DESPUNTE DER.</t>
  </si>
  <si>
    <t>PERF
 A</t>
  </si>
  <si>
    <t>PERF                B</t>
  </si>
  <si>
    <t>PERF              C</t>
  </si>
  <si>
    <t>PERF D</t>
  </si>
  <si>
    <t>PERF E</t>
  </si>
  <si>
    <t>PERF G</t>
  </si>
  <si>
    <t>PERF Z</t>
  </si>
  <si>
    <t>PERF F</t>
  </si>
  <si>
    <t>ESPECIFICACION DE MATERIAL</t>
  </si>
  <si>
    <t>TERMINADO</t>
  </si>
  <si>
    <t>PLANO</t>
  </si>
  <si>
    <t>OBSERVACIONES</t>
  </si>
  <si>
    <t>RUTA</t>
  </si>
  <si>
    <t>M1</t>
  </si>
  <si>
    <t>PLACA</t>
  </si>
  <si>
    <t>PL12X121</t>
  </si>
  <si>
    <t/>
  </si>
  <si>
    <t>;</t>
  </si>
  <si>
    <t>M3</t>
  </si>
  <si>
    <t>PLATE</t>
  </si>
  <si>
    <t>TCL1</t>
  </si>
  <si>
    <t>HEB300</t>
  </si>
  <si>
    <t>p1</t>
  </si>
  <si>
    <t>PL10X144</t>
  </si>
  <si>
    <t>pb1</t>
  </si>
  <si>
    <t>PLACA BASE</t>
  </si>
  <si>
    <t>PL20X460</t>
  </si>
  <si>
    <t>pl7</t>
  </si>
  <si>
    <t>ENDPLATE_1</t>
  </si>
  <si>
    <t>PL20X250</t>
  </si>
  <si>
    <t>pl8</t>
  </si>
  <si>
    <t>PL20X259</t>
  </si>
  <si>
    <t>pl9</t>
  </si>
  <si>
    <t>PL20X145</t>
  </si>
  <si>
    <t>pl10</t>
  </si>
  <si>
    <t>PL12X300</t>
  </si>
  <si>
    <t>pl11</t>
  </si>
  <si>
    <t>pl12</t>
  </si>
  <si>
    <t>PL12X260</t>
  </si>
  <si>
    <t>TCL2</t>
  </si>
  <si>
    <t>HEB200</t>
  </si>
  <si>
    <t>p4</t>
  </si>
  <si>
    <t>TCL3</t>
  </si>
  <si>
    <t>a3</t>
  </si>
  <si>
    <t>PL20X143</t>
  </si>
  <si>
    <t>PL20X144</t>
  </si>
  <si>
    <t>TCL4</t>
  </si>
  <si>
    <t>TRI1</t>
  </si>
  <si>
    <t>RIOSTRA</t>
  </si>
  <si>
    <t>UPN100</t>
  </si>
  <si>
    <t>pl1</t>
  </si>
  <si>
    <t>PL10X100</t>
  </si>
  <si>
    <t>pl22</t>
  </si>
  <si>
    <t>ENDPLATE</t>
  </si>
  <si>
    <t>TRI2</t>
  </si>
  <si>
    <t>pl26</t>
  </si>
  <si>
    <t>TRI3</t>
  </si>
  <si>
    <t>TRI4</t>
  </si>
  <si>
    <t>pl23</t>
  </si>
  <si>
    <t>pl24</t>
  </si>
  <si>
    <t>TRI5</t>
  </si>
  <si>
    <t>pl27</t>
  </si>
  <si>
    <t>TRI6</t>
  </si>
  <si>
    <t>pl29</t>
  </si>
  <si>
    <t>TRI7</t>
  </si>
  <si>
    <t>TRI8</t>
  </si>
  <si>
    <t>TRI9</t>
  </si>
  <si>
    <t>pl3</t>
  </si>
  <si>
    <t>TRI10</t>
  </si>
  <si>
    <t>TVP1</t>
  </si>
  <si>
    <t>HI300-12-20X250</t>
  </si>
  <si>
    <t>p3</t>
  </si>
  <si>
    <t>ENDPLATE_2</t>
  </si>
  <si>
    <t>pl14</t>
  </si>
  <si>
    <t>pl15</t>
  </si>
  <si>
    <t>PL PERF</t>
  </si>
  <si>
    <t>PL20X300</t>
  </si>
  <si>
    <t>pl31</t>
  </si>
  <si>
    <t>RIGIDIZADOR</t>
  </si>
  <si>
    <t>PL12X119</t>
  </si>
  <si>
    <t>pl32</t>
  </si>
  <si>
    <t>rg8</t>
  </si>
  <si>
    <t>PL10X119</t>
  </si>
  <si>
    <t>TVP2</t>
  </si>
  <si>
    <t>HI340-12-20X250</t>
  </si>
  <si>
    <t>p2</t>
  </si>
  <si>
    <t>pl16</t>
  </si>
  <si>
    <t>pl17</t>
  </si>
  <si>
    <t>pl33</t>
  </si>
  <si>
    <t>pl34</t>
  </si>
  <si>
    <t>rg1</t>
  </si>
  <si>
    <t>rg2</t>
  </si>
  <si>
    <t>TVP3</t>
  </si>
  <si>
    <t>HEB340</t>
  </si>
  <si>
    <t>pl5</t>
  </si>
  <si>
    <t>PL15X450</t>
  </si>
  <si>
    <t>pl6</t>
  </si>
  <si>
    <t>PL12X219</t>
  </si>
  <si>
    <t>pl20</t>
  </si>
  <si>
    <t>PL10X190</t>
  </si>
  <si>
    <t>pl25</t>
  </si>
  <si>
    <t>PL10X143</t>
  </si>
  <si>
    <t>pl28</t>
  </si>
  <si>
    <t>pl30</t>
  </si>
  <si>
    <t>rg6</t>
  </si>
  <si>
    <t>rg9</t>
  </si>
  <si>
    <t>TVP4</t>
  </si>
  <si>
    <t>pl2</t>
  </si>
  <si>
    <t>rg7</t>
  </si>
  <si>
    <t>PL10X145</t>
  </si>
  <si>
    <t>TVP5</t>
  </si>
  <si>
    <t>TVP6</t>
  </si>
  <si>
    <t>HI680-12-20X250</t>
  </si>
  <si>
    <t>pl4</t>
  </si>
  <si>
    <t>PL12X117</t>
  </si>
  <si>
    <t>pl13</t>
  </si>
  <si>
    <t>pl18</t>
  </si>
  <si>
    <t>pl19</t>
  </si>
  <si>
    <t>rg3</t>
  </si>
  <si>
    <t>rg4</t>
  </si>
  <si>
    <t>rg5</t>
  </si>
  <si>
    <t>TVP7</t>
  </si>
  <si>
    <t>TVP8</t>
  </si>
  <si>
    <t>TVP9</t>
  </si>
  <si>
    <t>PL10X165</t>
  </si>
  <si>
    <t>TOTAL Kg.</t>
  </si>
  <si>
    <t>NOTAS:</t>
  </si>
  <si>
    <t>E</t>
  </si>
  <si>
    <t>DESCRIPCIÓN</t>
  </si>
  <si>
    <t>POSICION</t>
  </si>
  <si>
    <t>Arriostramientos_2C</t>
  </si>
  <si>
    <t>Arriostramientos_4PL</t>
  </si>
  <si>
    <t>Arriostramientos_H_I</t>
  </si>
  <si>
    <t>a</t>
  </si>
  <si>
    <t>Q</t>
  </si>
  <si>
    <t>b</t>
  </si>
  <si>
    <t>W</t>
  </si>
  <si>
    <t>c</t>
  </si>
  <si>
    <t>Arriostramientos Perfiles Laminados</t>
  </si>
  <si>
    <t>d</t>
  </si>
  <si>
    <t>R</t>
  </si>
  <si>
    <t>Base estructural</t>
  </si>
  <si>
    <t>Campers</t>
  </si>
  <si>
    <t>Celosías</t>
  </si>
  <si>
    <t>Columna 2C</t>
  </si>
  <si>
    <t>Columna 4PL</t>
  </si>
  <si>
    <t>Columna H, I</t>
  </si>
  <si>
    <t>Columna Perfil Laminado</t>
  </si>
  <si>
    <t>Columna Perfiles Laminados</t>
  </si>
  <si>
    <t>Columna Tipo Celosía</t>
  </si>
  <si>
    <t>Correas</t>
  </si>
  <si>
    <t>Diagonales</t>
  </si>
  <si>
    <t>Dovelas H, I</t>
  </si>
  <si>
    <t>Estructuras para bandas transportadoras</t>
  </si>
  <si>
    <t xml:space="preserve">Horizontales </t>
  </si>
  <si>
    <t>Monopolo 16 lados cónico brida</t>
  </si>
  <si>
    <t>Monopolo 16 lados cónico embonados</t>
  </si>
  <si>
    <t>Monopolo octógonos</t>
  </si>
  <si>
    <t>Montantes</t>
  </si>
  <si>
    <t>Plataforma</t>
  </si>
  <si>
    <t>Pórticos y soportes en Alma Llena</t>
  </si>
  <si>
    <t>Pórticos y soportes en Celosía</t>
  </si>
  <si>
    <t>Pre-ensambles</t>
  </si>
  <si>
    <t>Residencias</t>
  </si>
  <si>
    <t>Soporte</t>
  </si>
  <si>
    <t>Tramo de Puente H, I</t>
  </si>
  <si>
    <t>Tramo poste</t>
  </si>
  <si>
    <t>Tramo Torreta</t>
  </si>
  <si>
    <t>Viga Puente</t>
  </si>
  <si>
    <t>Viga Tipo Celosía</t>
  </si>
  <si>
    <t>Vigas H, I</t>
  </si>
  <si>
    <t>Vigas Principales 2C</t>
  </si>
  <si>
    <t>Vigas Principales 4PL</t>
  </si>
  <si>
    <t>Vigas Principales H, I</t>
  </si>
  <si>
    <t>Vigas Principales Perfiles Laminados</t>
  </si>
  <si>
    <t>Vigas Secundarias 2C</t>
  </si>
  <si>
    <t>Vigas Secundarias 4PL</t>
  </si>
  <si>
    <t>Vigas Secundarias H, I</t>
  </si>
  <si>
    <t>Vigas Secundarias Perfiles Laminados</t>
  </si>
  <si>
    <t>Abrazaderas</t>
  </si>
  <si>
    <t>Anclajes helicoidales</t>
  </si>
  <si>
    <t>Ángulos sueltos</t>
  </si>
  <si>
    <t>Anillos</t>
  </si>
  <si>
    <t>Anillos de protección</t>
  </si>
  <si>
    <t>Base equipos grandes</t>
  </si>
  <si>
    <t>Base equipos pequeñas</t>
  </si>
  <si>
    <t>Canastillas</t>
  </si>
  <si>
    <t>Embebidos</t>
  </si>
  <si>
    <t>Escalera de cable</t>
  </si>
  <si>
    <t>Escaleras con protección</t>
  </si>
  <si>
    <t>Escaleras de personal</t>
  </si>
  <si>
    <t>Escaleras marineras</t>
  </si>
  <si>
    <t>Escalerillas</t>
  </si>
  <si>
    <t>Estructura de cubierta</t>
  </si>
  <si>
    <t>Formaletas o moldes</t>
  </si>
  <si>
    <t>Gradas</t>
  </si>
  <si>
    <t>Mástiles con tubo tensores</t>
  </si>
  <si>
    <t>Mástiles Simples</t>
  </si>
  <si>
    <t>Parantes para cubierta</t>
  </si>
  <si>
    <t>Pararrayos</t>
  </si>
  <si>
    <t>Pasamanos con ángulos</t>
  </si>
  <si>
    <t xml:space="preserve">Pasamanos Viales </t>
  </si>
  <si>
    <t>Peldaños</t>
  </si>
  <si>
    <t>Pernos de Anclaje</t>
  </si>
  <si>
    <t>Placas de numeración y peligro</t>
  </si>
  <si>
    <t>Placas Sueltas</t>
  </si>
  <si>
    <t>Plantillas</t>
  </si>
  <si>
    <t>Plataforma de trabajo MW</t>
  </si>
  <si>
    <t>Plataforma de trabajo torre</t>
  </si>
  <si>
    <t>Plataforma de trabajo torreta</t>
  </si>
  <si>
    <t>Plataforma trabajo monopolo</t>
  </si>
  <si>
    <t>Polos H</t>
  </si>
  <si>
    <t>Polos MW</t>
  </si>
  <si>
    <t>Polos RRU</t>
  </si>
  <si>
    <t>Polos Simples</t>
  </si>
  <si>
    <t>Reforzamientos</t>
  </si>
  <si>
    <t>Soporte baliza</t>
  </si>
  <si>
    <t>Soporte de línea de vida</t>
  </si>
  <si>
    <t>Soporte tensores</t>
  </si>
  <si>
    <t>Soportes especiales para polos</t>
  </si>
  <si>
    <t>Soportes para polos</t>
  </si>
  <si>
    <t>Tapas Cellar</t>
  </si>
  <si>
    <t xml:space="preserve">Tapas sin marco </t>
  </si>
  <si>
    <t xml:space="preserve">Tapas Trinchera </t>
  </si>
  <si>
    <t>Tipo Estriado</t>
  </si>
  <si>
    <t xml:space="preserve">Tipo Liso </t>
  </si>
  <si>
    <t xml:space="preserve">Tramex </t>
  </si>
  <si>
    <t>UPN</t>
  </si>
  <si>
    <t>Zancas</t>
  </si>
  <si>
    <t>Pasamanos con tubería</t>
  </si>
  <si>
    <t>Abrazaderas escaleras</t>
  </si>
  <si>
    <t>Abrazaderas menores</t>
  </si>
  <si>
    <t>Abrazaderas monopolo</t>
  </si>
  <si>
    <t>Accesorios líneas de vida</t>
  </si>
  <si>
    <t>Antiescalante</t>
  </si>
  <si>
    <t>Antiescalantes</t>
  </si>
  <si>
    <t>Crucetas</t>
  </si>
  <si>
    <t>Escalantes</t>
  </si>
  <si>
    <t>Espárragos</t>
  </si>
  <si>
    <t>Grating 25x4-Varilla 6</t>
  </si>
  <si>
    <t>Grating 30x3-Varilla 6</t>
  </si>
  <si>
    <t>Grating 30x4-Varilla 10</t>
  </si>
  <si>
    <t>Grating 38x4-Varilla 6</t>
  </si>
  <si>
    <t>Grating 40x4-Varilla 6</t>
  </si>
  <si>
    <t>Herrajes para líneas eléctricas</t>
  </si>
  <si>
    <t>Plumas de Izaje</t>
  </si>
  <si>
    <t xml:space="preserve">Polos </t>
  </si>
  <si>
    <t>Separadores</t>
  </si>
  <si>
    <t>Tensores</t>
  </si>
  <si>
    <t>Torres de emergencia</t>
  </si>
  <si>
    <t>U-Bolts</t>
  </si>
  <si>
    <t>Módulos de Pórticos de Protección</t>
  </si>
  <si>
    <t>Accesorios</t>
  </si>
  <si>
    <t>Bandejas Portacables</t>
  </si>
  <si>
    <t>Bifurcaciones</t>
  </si>
  <si>
    <t>Chute</t>
  </si>
  <si>
    <t>Compuertas Planas</t>
  </si>
  <si>
    <t>Compuertas Radiales</t>
  </si>
  <si>
    <t>Pilotes</t>
  </si>
  <si>
    <t>Tanques Atmosféricos 
API 12D - API 650
&gt; 750 BBLS</t>
  </si>
  <si>
    <t>Tanques Atmosféricos 
API 12F - API 650
90 BBLS - 750 BBLS</t>
  </si>
  <si>
    <t>Tolvas</t>
  </si>
  <si>
    <t>Tuberías de Conducción</t>
  </si>
  <si>
    <t>Tuberías de presión</t>
  </si>
  <si>
    <t>CON ACABADO SUPERFICIAL</t>
  </si>
  <si>
    <t>SIN ACABADO SUPERFICIAL</t>
  </si>
  <si>
    <t>Acabado Superficial</t>
  </si>
  <si>
    <t>SALIDA DE MATERIAL</t>
  </si>
  <si>
    <t>NUMERO</t>
  </si>
  <si>
    <t>INGRESA A LA BODEGA</t>
  </si>
  <si>
    <t>SECTOR</t>
  </si>
  <si>
    <t># SECTOR</t>
  </si>
  <si>
    <t>BODEGA</t>
  </si>
  <si>
    <t>PINTADO</t>
  </si>
  <si>
    <t>MATERIA PRIMA</t>
  </si>
  <si>
    <t>003</t>
  </si>
  <si>
    <t>Producto en proceso en negro</t>
  </si>
  <si>
    <t>900</t>
  </si>
  <si>
    <t>ACABADO</t>
  </si>
  <si>
    <t>ELECTRICO</t>
  </si>
  <si>
    <t>NEGRO</t>
  </si>
  <si>
    <t>EXTRA GALVANIZADO</t>
  </si>
  <si>
    <t>TELECOMUNICACIONES</t>
  </si>
  <si>
    <t>INF. SIERRA</t>
  </si>
  <si>
    <t>BICAPA EPOXICO-EPOXICO</t>
  </si>
  <si>
    <t>Proyecto</t>
  </si>
  <si>
    <t>Sector</t>
  </si>
  <si>
    <t>Tipo ACS</t>
  </si>
  <si>
    <t xml:space="preserve">PETROLEO </t>
  </si>
  <si>
    <t>BICAPA EPOXICO-POLUIRETANO</t>
  </si>
  <si>
    <t>BANDEJAS</t>
  </si>
  <si>
    <t>BICAPA EPOXICO-SINTETICO</t>
  </si>
  <si>
    <t>INF. COSTA</t>
  </si>
  <si>
    <t>BICAPA WASHPRIMER-SINTETICO</t>
  </si>
  <si>
    <t>SERVICIO A TERCEROS</t>
  </si>
  <si>
    <t>DUPLEX-ACRILICO</t>
  </si>
  <si>
    <t>CONSUMO INTERNO</t>
  </si>
  <si>
    <t>DUPLEX ESMALTE</t>
  </si>
  <si>
    <t>CMG</t>
  </si>
  <si>
    <t>BICAPA ANTICORROSIVO-SINTETICO</t>
  </si>
  <si>
    <t>MONO CAPA ANTICORROSIVO</t>
  </si>
  <si>
    <t>Bodega Entrada</t>
  </si>
  <si>
    <t>BICAPA EPOXICO-ACRILICO</t>
  </si>
  <si>
    <t>TRICAPA INORGANICO DE ZINC-EPOXICO-POLUIRETANO</t>
  </si>
  <si>
    <t>MONO CAPA EPOXICO</t>
  </si>
  <si>
    <t>TRICAPA ORGANICO DE ZINC-EPOXICO-POLUIRETANO</t>
  </si>
  <si>
    <t>ÍTEM</t>
  </si>
  <si>
    <t>FAMILIA</t>
  </si>
  <si>
    <t xml:space="preserve">ELEMENTO </t>
  </si>
  <si>
    <t xml:space="preserve">NOMBRE TEKLA </t>
  </si>
  <si>
    <t>OBSERBACIONES</t>
  </si>
  <si>
    <t>NOMBRE TEKLA (PARTES)</t>
  </si>
  <si>
    <t>NOMBRE COMPLETO</t>
  </si>
  <si>
    <t>CONJUNTOS</t>
  </si>
  <si>
    <t xml:space="preserve">FLEJES </t>
  </si>
  <si>
    <t xml:space="preserve">ALMA </t>
  </si>
  <si>
    <t>ALMA</t>
  </si>
  <si>
    <t>ESTRUCTURA PRINCIPAL</t>
  </si>
  <si>
    <t>COLUMNA HI</t>
  </si>
  <si>
    <t>CON PERFORACIONES</t>
  </si>
  <si>
    <t>ALMA CON PERFORACIONES</t>
  </si>
  <si>
    <t>ALMA PERF</t>
  </si>
  <si>
    <t>ALMA PERFORADA</t>
  </si>
  <si>
    <t>COLUMNA 2C</t>
  </si>
  <si>
    <t xml:space="preserve">CON BISEL </t>
  </si>
  <si>
    <t xml:space="preserve">ALMA CON BISEL </t>
  </si>
  <si>
    <t>ALMA BISEL</t>
  </si>
  <si>
    <t>ALMA BISELADA</t>
  </si>
  <si>
    <t>COLUMNA 2G</t>
  </si>
  <si>
    <t xml:space="preserve">CON PERFORACIÓN - BISEL </t>
  </si>
  <si>
    <t xml:space="preserve">ALMA CON PERFORACIÓN - BISEL </t>
  </si>
  <si>
    <t>ALMA PER BISEL</t>
  </si>
  <si>
    <t>ALMA PERFORADA BISELADA</t>
  </si>
  <si>
    <t>COLUMNA LAM</t>
  </si>
  <si>
    <t>PATIN</t>
  </si>
  <si>
    <t>PATINES</t>
  </si>
  <si>
    <t>COLUMNA CELOSIA</t>
  </si>
  <si>
    <t xml:space="preserve">PATÍN </t>
  </si>
  <si>
    <t>PATÍN SUPERIOR</t>
  </si>
  <si>
    <t>P.SUP</t>
  </si>
  <si>
    <t>PATIN SUPERIOR</t>
  </si>
  <si>
    <t>V.PRINCIPAL HI</t>
  </si>
  <si>
    <t>PATÍN INFERIOR</t>
  </si>
  <si>
    <t>P.INF</t>
  </si>
  <si>
    <t>PATIN INFERIOR</t>
  </si>
  <si>
    <t>V.PRINCIPAL 2C</t>
  </si>
  <si>
    <t>PATIN CON PERFORACIONES</t>
  </si>
  <si>
    <t>P.PERF</t>
  </si>
  <si>
    <t>PATINES PERFORADOS</t>
  </si>
  <si>
    <t>V.PRINCIPAL LAM</t>
  </si>
  <si>
    <t>PATÍN SUPERIOR CON PERFORACIONES</t>
  </si>
  <si>
    <t>P.SUP PERF</t>
  </si>
  <si>
    <t>PATIN SUPERIOR PERFORADOS</t>
  </si>
  <si>
    <t>V.CELOSIA</t>
  </si>
  <si>
    <t>PATÍN INFERIOR CON PERFORACIONES</t>
  </si>
  <si>
    <t>P.INF PERF</t>
  </si>
  <si>
    <t>PATIN INFERIOR PERFORADOS</t>
  </si>
  <si>
    <t>V.SECUNDARIA HI</t>
  </si>
  <si>
    <t>PATIN CON BISEL</t>
  </si>
  <si>
    <t>P.BISEL</t>
  </si>
  <si>
    <t>PATINES BISELADOS</t>
  </si>
  <si>
    <t>V.SECUNDARIA 2C</t>
  </si>
  <si>
    <t xml:space="preserve">PATÍN SUPERIOR CON BISEL </t>
  </si>
  <si>
    <t>P.SUP BISEL</t>
  </si>
  <si>
    <t>PATIN SUPERIOS BISELADOS</t>
  </si>
  <si>
    <t>V.SECUNDARIA LAM</t>
  </si>
  <si>
    <t xml:space="preserve">PATÍN INFERIOR CON BISEL </t>
  </si>
  <si>
    <t>P.INF BISEL</t>
  </si>
  <si>
    <t>PATIN INFERIOR BISELADOS</t>
  </si>
  <si>
    <t>RIOSTRA HI</t>
  </si>
  <si>
    <t>PATIN CON PERFORACIONES - BISEL</t>
  </si>
  <si>
    <t>P.PERF BISEL</t>
  </si>
  <si>
    <t>PATINES PERFORADOS BISELADOS</t>
  </si>
  <si>
    <t>RIOSTRA 2C</t>
  </si>
  <si>
    <t xml:space="preserve">PATÍN SUPERIOR CON PERFORACIÓN - BISEL </t>
  </si>
  <si>
    <t>P.SUP PERF BISEL</t>
  </si>
  <si>
    <t>PATIN SUPERIOR PERFORADOS BISELADOS</t>
  </si>
  <si>
    <t>RIOSTRA PERFIL LAM</t>
  </si>
  <si>
    <t xml:space="preserve">PATÍN INFERIOR CON PERFORACIÓN - BISEL </t>
  </si>
  <si>
    <t>P.INF PERF BISEL</t>
  </si>
  <si>
    <t>PATIN INFERIOR PERFORADOS BISELADOS</t>
  </si>
  <si>
    <t>CORREA</t>
  </si>
  <si>
    <t xml:space="preserve">BARREDERA </t>
  </si>
  <si>
    <t>BARREDERA</t>
  </si>
  <si>
    <t>COLUMNA 4PL</t>
  </si>
  <si>
    <t>CON DOBLEZ</t>
  </si>
  <si>
    <t>BARREDERA CON DOBLEZ</t>
  </si>
  <si>
    <t>BARREDERA DOBLADA</t>
  </si>
  <si>
    <t>PLACA DE RESPALDO</t>
  </si>
  <si>
    <t>PL.RESPALDO</t>
  </si>
  <si>
    <t>PLACA RESPALDO</t>
  </si>
  <si>
    <t xml:space="preserve">PLACA DE CONEXIÓN </t>
  </si>
  <si>
    <t>PL.PERF</t>
  </si>
  <si>
    <t>PLACA PERFORADA</t>
  </si>
  <si>
    <t>PL.PLEGADA PERF</t>
  </si>
  <si>
    <t>PLACA PLEGADA PERFORADA</t>
  </si>
  <si>
    <t>V.PRINCIPAL 4PL</t>
  </si>
  <si>
    <t>PL.PLEGADA</t>
  </si>
  <si>
    <t xml:space="preserve">PLACA PLEGADA </t>
  </si>
  <si>
    <t>BRIDAS</t>
  </si>
  <si>
    <t xml:space="preserve">RIGIDIZADOR </t>
  </si>
  <si>
    <t xml:space="preserve">PLACAS PISO </t>
  </si>
  <si>
    <t xml:space="preserve">CON PERFORACIÓN - AVELLANADO </t>
  </si>
  <si>
    <t xml:space="preserve">PLACAS PISO CON PERFORACIÓN - AVELLANADO </t>
  </si>
  <si>
    <t>PL.PISO AVELLANADO</t>
  </si>
  <si>
    <t>PLACA PISO PERFORADO Y AVELLANADO</t>
  </si>
  <si>
    <t>PERFIL L CON PERFORACIONES</t>
  </si>
  <si>
    <t>A.PERF</t>
  </si>
  <si>
    <t>ANGULO PERFORADO</t>
  </si>
  <si>
    <t>V.SECUNDARIA 4PL</t>
  </si>
  <si>
    <t>PERFIL L SIN PERFORACIONES</t>
  </si>
  <si>
    <t>ANGULO</t>
  </si>
  <si>
    <t>ANGULO SIN PERFORACION</t>
  </si>
  <si>
    <t>A.PERF DOBLEZ</t>
  </si>
  <si>
    <t>ANGULO PERFORADO DOBLADO</t>
  </si>
  <si>
    <t>A.PERF DOBLEZ DESP</t>
  </si>
  <si>
    <t>ANGULO PERFORADO DOBLADO DESPUNTADO</t>
  </si>
  <si>
    <t>A.PERF DOB DESP DEST</t>
  </si>
  <si>
    <t>ANGULO PERFORADO DOBLADO DESPUNTADO DESTALONADO</t>
  </si>
  <si>
    <t>RIOSTRA 4PL</t>
  </si>
  <si>
    <t>A.PERF DEST</t>
  </si>
  <si>
    <t>ANGULO PERFORADO  DESTALONADO</t>
  </si>
  <si>
    <t xml:space="preserve">PERFILES </t>
  </si>
  <si>
    <t xml:space="preserve">PERFIL C </t>
  </si>
  <si>
    <t>PERFIL C</t>
  </si>
  <si>
    <t>PERFIL LAMINADO C</t>
  </si>
  <si>
    <t>CON PERFORACIÓN</t>
  </si>
  <si>
    <t>PERFIL C CON PERFORACIÓN</t>
  </si>
  <si>
    <t>PERFIL C PERF</t>
  </si>
  <si>
    <t>PERFIL C PERFORADO</t>
  </si>
  <si>
    <t>RIOSTRA  PERFIL LAM</t>
  </si>
  <si>
    <t>PERFIL G</t>
  </si>
  <si>
    <t>PERFIL LAMINADO G</t>
  </si>
  <si>
    <t>PERFIL G CON PERFORACIÓN</t>
  </si>
  <si>
    <t>PERFIL G PERF</t>
  </si>
  <si>
    <t>PERFIL G PERFORADO</t>
  </si>
  <si>
    <t>PERFIL Z</t>
  </si>
  <si>
    <t>PERFIL LAMINADO Z</t>
  </si>
  <si>
    <t>PERFIL Z CON PERFORACIÓN</t>
  </si>
  <si>
    <t>PERFIL Z PERF</t>
  </si>
  <si>
    <t>PERFIL Z PERFORADO</t>
  </si>
  <si>
    <t xml:space="preserve">PERFIL  HEA </t>
  </si>
  <si>
    <t>PERFIL HEA</t>
  </si>
  <si>
    <t>PERFIL LAMINADO HEA</t>
  </si>
  <si>
    <t>PERFIL  HEA CON PERFORACIÓN</t>
  </si>
  <si>
    <t>PERFIL HEA PERF</t>
  </si>
  <si>
    <t>PERFIL HEA PERFORADO</t>
  </si>
  <si>
    <t>PERFIL  HEA CON ROLADO</t>
  </si>
  <si>
    <t>PERFIL HEA ROL PERF</t>
  </si>
  <si>
    <t>PERFIL HEA ROLADO PERFORADO</t>
  </si>
  <si>
    <t>CON ROLADO</t>
  </si>
  <si>
    <t>PERFIL HEA ROL</t>
  </si>
  <si>
    <t xml:space="preserve">PERFIL HEA ROLADO </t>
  </si>
  <si>
    <t>PERFIL HEB</t>
  </si>
  <si>
    <t>PERFIL LAMINADO HEB</t>
  </si>
  <si>
    <t>PERFIL HEB CON PERFORACIÓN</t>
  </si>
  <si>
    <t>PERFIL HEB PERF</t>
  </si>
  <si>
    <t>PERIL HEB PERFORADO</t>
  </si>
  <si>
    <t>PERFIL HEB CON ROLADO</t>
  </si>
  <si>
    <t>PERFIL HEB ROL PERF</t>
  </si>
  <si>
    <t>PERFIL HEB ROLADO PERFORADO</t>
  </si>
  <si>
    <t>PERFIL HEB ROL</t>
  </si>
  <si>
    <t>PERFIL HEB ROLADO</t>
  </si>
  <si>
    <t xml:space="preserve">PERFIL IPE </t>
  </si>
  <si>
    <t>PERFIL IPE</t>
  </si>
  <si>
    <t>PERFIL LAMINADO IPE</t>
  </si>
  <si>
    <t>PERFIL IPE CON PERFORACIÓN</t>
  </si>
  <si>
    <t>PERFIL IPE PERF</t>
  </si>
  <si>
    <t>PERFIL IPE PERFORADO</t>
  </si>
  <si>
    <t>PERFIL IPE CON ROLADO</t>
  </si>
  <si>
    <t>PERFIL IPE ROL PERF</t>
  </si>
  <si>
    <t>PERFIL IPE ROLADO PERFORADO</t>
  </si>
  <si>
    <t>PERFIL IPE ROL</t>
  </si>
  <si>
    <t>PERFIL IPE ROLADO</t>
  </si>
  <si>
    <t xml:space="preserve">PERFIL UPN </t>
  </si>
  <si>
    <t>PERFIL UPN</t>
  </si>
  <si>
    <t>PERFIL LAMINADO UPN</t>
  </si>
  <si>
    <t>PERFIL UPN CON PERFORACIÓN</t>
  </si>
  <si>
    <t>PERFIL UPN PERF</t>
  </si>
  <si>
    <t>PERFIL UPN PERFORADO</t>
  </si>
  <si>
    <t>PERFIL UPN CON ROLADO</t>
  </si>
  <si>
    <t>PERFIL UPN ROL PERF</t>
  </si>
  <si>
    <t>PERFIL UPN ROLADO PERFORADO</t>
  </si>
  <si>
    <t>PERFIL UPN ROL</t>
  </si>
  <si>
    <t>PERFIL UPN ROLADO</t>
  </si>
  <si>
    <t xml:space="preserve">PERFILES CONFORMADOS </t>
  </si>
  <si>
    <t>PERFIL CONFORMADO C</t>
  </si>
  <si>
    <t>CON CORTE - DOBLEZ</t>
  </si>
  <si>
    <t>PERFIL CONFORMADO C CON CORTE - DOBLEZ</t>
  </si>
  <si>
    <t>PERFIL C CONF</t>
  </si>
  <si>
    <t>PERFIL C CONFORMADO</t>
  </si>
  <si>
    <t>PERFIL C CONF PERF</t>
  </si>
  <si>
    <t>PERFIL C CONFORMADO PERFORADO</t>
  </si>
  <si>
    <t>PERFIL C CONF BISEL</t>
  </si>
  <si>
    <t>PERFIL C CONFORMADO BISELADO</t>
  </si>
  <si>
    <t>PERFIL CONFORMADO G</t>
  </si>
  <si>
    <t>PERFIL CONFORMADO G CON CORTE - DOBLEZ</t>
  </si>
  <si>
    <t>PERFIL G CONF</t>
  </si>
  <si>
    <t>PERFIL G CONFORMADO</t>
  </si>
  <si>
    <t>PERFIL G CONF PERF</t>
  </si>
  <si>
    <t>PERFIL G CONFORMADO PERFORADO</t>
  </si>
  <si>
    <t>PERFIN CONFORMADO Z</t>
  </si>
  <si>
    <t>PERFIN CONFORMADO Z CON CORTE - DOBLEZ</t>
  </si>
  <si>
    <t>PERFIL Z CONF</t>
  </si>
  <si>
    <t>PERFIL Z CONFORMADO</t>
  </si>
  <si>
    <t>PERFIL Z CONF PERF</t>
  </si>
  <si>
    <t>PERFIL Z CONFORMADO PERFORADO</t>
  </si>
  <si>
    <t xml:space="preserve">PERFIN CONFORMADO ANGULOS </t>
  </si>
  <si>
    <t>PERFIN CONFORMADO ANGULOS CON CORTE - DOBLEZ</t>
  </si>
  <si>
    <t>PERFIL L CONF</t>
  </si>
  <si>
    <t>PERFIL L CONFORMADO</t>
  </si>
  <si>
    <t>PERFIL L CONF PERF</t>
  </si>
  <si>
    <t>PERFIL L CONFORMADO PERFORADO</t>
  </si>
  <si>
    <t xml:space="preserve">TUBOS </t>
  </si>
  <si>
    <t>TUBO REDONDO</t>
  </si>
  <si>
    <t>TUBO RD</t>
  </si>
  <si>
    <t>TUBO REDONDO CON PERFORACIÓN</t>
  </si>
  <si>
    <t>TUBO RD PERF</t>
  </si>
  <si>
    <t>TUBO REDONDO PERFORADO</t>
  </si>
  <si>
    <t>CON PERFORACIÓN-ROLADO</t>
  </si>
  <si>
    <t>TUBO REDONDO CON PERFORACIÓN-ROLADO</t>
  </si>
  <si>
    <t>TUBO RD PERF ROL</t>
  </si>
  <si>
    <t>TUBO REDONDO PERFORADO ROLADO</t>
  </si>
  <si>
    <t>TUBO CUADRADO</t>
  </si>
  <si>
    <t>TUBO CD</t>
  </si>
  <si>
    <t>TUBO CUADRADO CON PERFORACIÓN</t>
  </si>
  <si>
    <t>TUBO CD PERF</t>
  </si>
  <si>
    <t>TUBO CUADRADO PERFORADO</t>
  </si>
  <si>
    <t>TRAMO TORRETA</t>
  </si>
  <si>
    <t>TUBO RECTANGULAR</t>
  </si>
  <si>
    <t>TUBO RT</t>
  </si>
  <si>
    <t>MONTANTE</t>
  </si>
  <si>
    <t>TUBO RECTANGULAR CON PERFORACIÓN</t>
  </si>
  <si>
    <t>TUBO RT PERF</t>
  </si>
  <si>
    <t>TUBO RECTANGULAR PERFORADO</t>
  </si>
  <si>
    <t>DIAGONAL</t>
  </si>
  <si>
    <t xml:space="preserve">EJES </t>
  </si>
  <si>
    <t>PERNO I</t>
  </si>
  <si>
    <t>CON ROSCADO-ARMADO</t>
  </si>
  <si>
    <t>PERNO TIPO I</t>
  </si>
  <si>
    <t>HORIZONTAL</t>
  </si>
  <si>
    <t>PERNO J,L</t>
  </si>
  <si>
    <t>CON ROSCADO-DOBLADO-ARMADO</t>
  </si>
  <si>
    <t>PERNO L</t>
  </si>
  <si>
    <t>PERNO TIPO L</t>
  </si>
  <si>
    <t>PERNO J</t>
  </si>
  <si>
    <t>PERNO TIPO J</t>
  </si>
  <si>
    <t>ESCALANTE</t>
  </si>
  <si>
    <t>ANTIESCALANTE</t>
  </si>
  <si>
    <t>CON ROSCADO-DOBLADO-DESPUNTADO-ARMADO</t>
  </si>
  <si>
    <t>ESTRIBO</t>
  </si>
  <si>
    <t>TRAMO POSTE</t>
  </si>
  <si>
    <t xml:space="preserve">PLATINAS </t>
  </si>
  <si>
    <t xml:space="preserve">PLATINA </t>
  </si>
  <si>
    <t>PLATINA</t>
  </si>
  <si>
    <t>PLATINA DENTADA</t>
  </si>
  <si>
    <t>PLATINA DENT</t>
  </si>
  <si>
    <t>VARILLA TREFILADA</t>
  </si>
  <si>
    <t>VAR.TREFILADA</t>
  </si>
  <si>
    <t>VARILLA TRIFILADA</t>
  </si>
  <si>
    <t>PLATAFORMA</t>
  </si>
  <si>
    <t xml:space="preserve">VARILLA </t>
  </si>
  <si>
    <t>VARILLA</t>
  </si>
  <si>
    <t>VAR.ROSCADA DOB</t>
  </si>
  <si>
    <t>VARILLA ROSCADA DOBLADA</t>
  </si>
  <si>
    <t>VAR.ROSCADA</t>
  </si>
  <si>
    <t>VARILLA ROSCADA</t>
  </si>
  <si>
    <t>VAR.DOBLADA</t>
  </si>
  <si>
    <t>VARILLA DOBLADA</t>
  </si>
  <si>
    <t>SOPORTES</t>
  </si>
  <si>
    <t>GUARDA HOMBRE</t>
  </si>
  <si>
    <t xml:space="preserve">VIROLA </t>
  </si>
  <si>
    <t>CON PERFORACIÓN- BISEL-ROLADO</t>
  </si>
  <si>
    <t>VIROLA  CON PERFORACIÓN- BISEL-ROLADO</t>
  </si>
  <si>
    <t>VIROLA PERF BISEL</t>
  </si>
  <si>
    <t>VIROLA PERFORADA BISELADA</t>
  </si>
  <si>
    <t>VIROLA  CON PERFORACIÓN-ROLADO</t>
  </si>
  <si>
    <t xml:space="preserve">VIROLA PERF  </t>
  </si>
  <si>
    <t>VIROLA PERFORADA</t>
  </si>
  <si>
    <t>CELOSIA</t>
  </si>
  <si>
    <t>MALLA EXP</t>
  </si>
  <si>
    <t>MALLA EXPANDIDA</t>
  </si>
  <si>
    <t>VIGA HI</t>
  </si>
  <si>
    <t xml:space="preserve">MEDIO HEXG CONF </t>
  </si>
  <si>
    <t>MEDIO HEXAGONO CONFORMADO</t>
  </si>
  <si>
    <t>DOVELA HI</t>
  </si>
  <si>
    <t xml:space="preserve">MEDIO OCTG CONF </t>
  </si>
  <si>
    <t>MEDIO OCTOGONO CONFORMADO</t>
  </si>
  <si>
    <t xml:space="preserve">MEDIO HEXADECG CONF </t>
  </si>
  <si>
    <t>MEDIO HEXADECAGONO CONFORMADO</t>
  </si>
  <si>
    <t>TRAMO DE PUENTE</t>
  </si>
  <si>
    <t xml:space="preserve">MEDIO OCTGDECG CONF </t>
  </si>
  <si>
    <t>MEDIO OCTODECAGONO CONFORMADO</t>
  </si>
  <si>
    <t>PERFIL UV CONF PERF</t>
  </si>
  <si>
    <t>PERFIL UV CONFORMADO PERFORADO</t>
  </si>
  <si>
    <t>PL.ANTIDES</t>
  </si>
  <si>
    <t>PLACA ANTIDESLIZANTE</t>
  </si>
  <si>
    <t>V.PUENTE</t>
  </si>
  <si>
    <t>PL.ANTIDES PERF</t>
  </si>
  <si>
    <t>PLACA ANTIDESLIZANTE PERFORADA</t>
  </si>
  <si>
    <t>PL.ANTIDES DOB</t>
  </si>
  <si>
    <t>PLACA ANTIDESLIZANTE DOBLADA</t>
  </si>
  <si>
    <t>PL.ANTIDES DOB PERF</t>
  </si>
  <si>
    <t>PLACA ANTIDESLIZANTE DOBLADA PERFORADA</t>
  </si>
  <si>
    <t>BASE ESTRUCTURAL</t>
  </si>
  <si>
    <t>A.PERF DESP</t>
  </si>
  <si>
    <t>ANGULO PERFORADO DESPUNTADO</t>
  </si>
  <si>
    <t>A.PERF DESP DEST</t>
  </si>
  <si>
    <t>ANGULO PERFORADO DESPUNTADO DESTALONADO</t>
  </si>
  <si>
    <t>EST.BANDA TRANSPOR</t>
  </si>
  <si>
    <t>A.PERFORADO ROLADO</t>
  </si>
  <si>
    <t>ANGULO PERFORADO ROLADO</t>
  </si>
  <si>
    <t>A.ROLADO</t>
  </si>
  <si>
    <t>ANGULO ROLADO</t>
  </si>
  <si>
    <t>CAMPERS</t>
  </si>
  <si>
    <t>TUBO RD ROL</t>
  </si>
  <si>
    <t>TUBO REDONDO ROLADO</t>
  </si>
  <si>
    <t>TRAMO MP</t>
  </si>
  <si>
    <t>NUEVO</t>
  </si>
  <si>
    <t>PL.ROL</t>
  </si>
  <si>
    <t>PLACA ROLADA</t>
  </si>
  <si>
    <t>PLACA SUELTA</t>
  </si>
  <si>
    <t>PL.PERF ROL</t>
  </si>
  <si>
    <t>PLACA PERFORADA ROLADA</t>
  </si>
  <si>
    <t>PLACA EMBEBIDA</t>
  </si>
  <si>
    <t>TUBO RD ROSC</t>
  </si>
  <si>
    <t>TUBO REDONDO ROSCADO</t>
  </si>
  <si>
    <t>TAPA PLEGADA</t>
  </si>
  <si>
    <t>SALIDA BAJANTE</t>
  </si>
  <si>
    <t>SALIDA BAJANTE  CANAL AGUA LLUVIA</t>
  </si>
  <si>
    <t>REDUNDANTE</t>
  </si>
  <si>
    <t xml:space="preserve">PERFIL I </t>
  </si>
  <si>
    <t xml:space="preserve">PERFIL I  </t>
  </si>
  <si>
    <t>ANTITORSOR</t>
  </si>
  <si>
    <t>PERFIL I PERF</t>
  </si>
  <si>
    <t>PERFIL I PERFORADO</t>
  </si>
  <si>
    <t>JUNTA</t>
  </si>
  <si>
    <t>GRAPAS</t>
  </si>
  <si>
    <t>RELLENOS 1/2</t>
  </si>
  <si>
    <t>RELLENOS 5/8</t>
  </si>
  <si>
    <t>PL SOPORTE EQ</t>
  </si>
  <si>
    <t>PL.DERIVACION</t>
  </si>
  <si>
    <t>ANGULO BASE</t>
  </si>
  <si>
    <t>V.PRINCIPAL 2G</t>
  </si>
  <si>
    <t>COLUMNA 3G</t>
  </si>
  <si>
    <t>ESTRUCTURA SECUNDARIA</t>
  </si>
  <si>
    <t>PERNOS ANCLAJE</t>
  </si>
  <si>
    <t>STUBS</t>
  </si>
  <si>
    <t>ANCLAJE HELICOIDAL</t>
  </si>
  <si>
    <t>EMBEBIDOS</t>
  </si>
  <si>
    <t>CANASTILLAS</t>
  </si>
  <si>
    <t>PLANTILLAS</t>
  </si>
  <si>
    <t>ESCALERILLAS</t>
  </si>
  <si>
    <t>ESCALERA PROTECCION</t>
  </si>
  <si>
    <t>GRADAS</t>
  </si>
  <si>
    <t>ZANCAS</t>
  </si>
  <si>
    <t>PELDANOS</t>
  </si>
  <si>
    <t>PASAMANOS EN TUBO</t>
  </si>
  <si>
    <t>PASAMANOS CON ANGULO</t>
  </si>
  <si>
    <t>PASAMANOS VIALES</t>
  </si>
  <si>
    <t>TAPAS CELLAR</t>
  </si>
  <si>
    <t>TAPAS TRINCHERA</t>
  </si>
  <si>
    <t>TAPAS SIN MARCO</t>
  </si>
  <si>
    <t>TRAMEX</t>
  </si>
  <si>
    <t>PISO LISO</t>
  </si>
  <si>
    <t>PISO ESTRIADO</t>
  </si>
  <si>
    <t>SOPORTE POLOS</t>
  </si>
  <si>
    <t>SOPORTE L D V</t>
  </si>
  <si>
    <t>ABRAZADERAS</t>
  </si>
  <si>
    <t>PARARRAYOS</t>
  </si>
  <si>
    <t>MASTILES SIMPLES</t>
  </si>
  <si>
    <t>MASTILES TUBO TENSOR</t>
  </si>
  <si>
    <t>POLO SIMPLE</t>
  </si>
  <si>
    <t>POLO H</t>
  </si>
  <si>
    <t>POLO MW</t>
  </si>
  <si>
    <t>POLO RRU</t>
  </si>
  <si>
    <t>POLO UNIVERSAL</t>
  </si>
  <si>
    <t>SOPORTE ESCALERILLA</t>
  </si>
  <si>
    <t>SOPORTE BALIZA</t>
  </si>
  <si>
    <t>SOPORTE TENSOR</t>
  </si>
  <si>
    <t>BASE EQUIPO P</t>
  </si>
  <si>
    <t>BASE EQUIPO G</t>
  </si>
  <si>
    <t>PLATAFORMA TRABAJO</t>
  </si>
  <si>
    <t>PLATAFORMA DESCANZO</t>
  </si>
  <si>
    <t>PARANTE CUBIERTA</t>
  </si>
  <si>
    <t>EST.CUBIERTA</t>
  </si>
  <si>
    <t>ESCALERA CABLE</t>
  </si>
  <si>
    <t>ESCALERA PERSONAL</t>
  </si>
  <si>
    <t>ANILLO SEGURIDAD</t>
  </si>
  <si>
    <t>ESCALERA MARINERA</t>
  </si>
  <si>
    <t>ANGULOS SUELTOS</t>
  </si>
  <si>
    <t>ENCOFRADO</t>
  </si>
  <si>
    <t>PL.NUM PELIGRO</t>
  </si>
  <si>
    <t xml:space="preserve">ANILLO SOPORTE </t>
  </si>
  <si>
    <t>PASAMUROS</t>
  </si>
  <si>
    <t>PLACA TENSOR</t>
  </si>
  <si>
    <t>CLETS</t>
  </si>
  <si>
    <t>STUD</t>
  </si>
  <si>
    <t>COLUMNETA</t>
  </si>
  <si>
    <t>FLASHING</t>
  </si>
  <si>
    <t>CANAL DE AGUA</t>
  </si>
  <si>
    <t>PERFIL SUELTO</t>
  </si>
  <si>
    <t>PRODUCTOS DE CATALOGO</t>
  </si>
  <si>
    <t>GRATING 25X4 VAR6</t>
  </si>
  <si>
    <t>GRATING 30X3 VAR6</t>
  </si>
  <si>
    <t>GRATING 30X4 VAR10</t>
  </si>
  <si>
    <t>GRATING 38X4 VAR6</t>
  </si>
  <si>
    <t>GRATING 40X4 VAR6</t>
  </si>
  <si>
    <t>SEPARADORES</t>
  </si>
  <si>
    <t>TENSORES</t>
  </si>
  <si>
    <t>U-BOLT</t>
  </si>
  <si>
    <t>ESPARRAGOS</t>
  </si>
  <si>
    <t>ESCALANTES</t>
  </si>
  <si>
    <t>ABRAZADERA MP</t>
  </si>
  <si>
    <t>ABRAZADERA ESC</t>
  </si>
  <si>
    <t>ABRASADERAS MENORES</t>
  </si>
  <si>
    <t>ANTIESCALANTES</t>
  </si>
  <si>
    <t>BANDEJA PORTACABLE</t>
  </si>
  <si>
    <t>CRUCETAS</t>
  </si>
  <si>
    <t>HERRAJES ELECTRICOS</t>
  </si>
  <si>
    <t>TORRE EMERGENCIA</t>
  </si>
  <si>
    <t>PLUMA IZAJE</t>
  </si>
  <si>
    <t>MODULOS PORT PROTEC</t>
  </si>
  <si>
    <t>CARRETES</t>
  </si>
  <si>
    <t>GRATING 25X6 VAR6</t>
  </si>
  <si>
    <t>SOPORTE POSTE</t>
  </si>
  <si>
    <t>CERROJO</t>
  </si>
  <si>
    <t>EQUIPOS MECANICOS</t>
  </si>
  <si>
    <t>Tanque</t>
  </si>
  <si>
    <t>Pasamanos de Techo</t>
  </si>
  <si>
    <t>Escalera con protección</t>
  </si>
  <si>
    <t>Planchas de Fondo</t>
  </si>
  <si>
    <t>Virolas</t>
  </si>
  <si>
    <t>Pétalos (Techo Tipo Domo)</t>
  </si>
  <si>
    <t>Planchas (Techo Cónico)</t>
  </si>
  <si>
    <t>Baffles</t>
  </si>
  <si>
    <t>Boquillas</t>
  </si>
  <si>
    <t>Manhole</t>
  </si>
  <si>
    <t>Clean Out</t>
  </si>
  <si>
    <t>Pasamanos de Escalera Helicoidal</t>
  </si>
  <si>
    <t>Tubería de Enfriamiento</t>
  </si>
  <si>
    <t>Accesorios: 
* Soportes de Tubería
* Caja Toma muestra
* Soporte de Medidos de Nivel
* Placa Medidor de Nivel</t>
  </si>
  <si>
    <t>Tanques a Presión</t>
  </si>
  <si>
    <t>Tramos de Tubería</t>
  </si>
  <si>
    <t>Skid de Químicos</t>
  </si>
  <si>
    <t>Skid</t>
  </si>
  <si>
    <t>Clamp</t>
  </si>
  <si>
    <t>Recibidor</t>
  </si>
  <si>
    <t>Compuerta</t>
  </si>
  <si>
    <t>Tolva</t>
  </si>
  <si>
    <t>Tramos de Tolva</t>
  </si>
  <si>
    <t>Tramos de Ducto</t>
  </si>
  <si>
    <t>Spools</t>
  </si>
  <si>
    <t>Bifurcador</t>
  </si>
  <si>
    <t>Trifurcador</t>
  </si>
  <si>
    <t>Compuertas planas</t>
  </si>
  <si>
    <t>Compuertas radiales</t>
  </si>
  <si>
    <t xml:space="preserve">                      NOTA. </t>
  </si>
  <si>
    <t>172.18.12.72</t>
  </si>
  <si>
    <t xml:space="preserve">PATIN </t>
  </si>
  <si>
    <t>COLUMNA - HEB200</t>
  </si>
  <si>
    <t>COLUMNA - HEB 300</t>
  </si>
  <si>
    <t>VIGA - HEB 300</t>
  </si>
  <si>
    <t>VIGA - HEB 340</t>
  </si>
  <si>
    <t>VIGA - HI300-12-20X250</t>
  </si>
  <si>
    <t>VIGA - HI340-12-20X250</t>
  </si>
  <si>
    <t>VIGA - HI680-12-20X250</t>
  </si>
  <si>
    <t xml:space="preserve"> </t>
  </si>
  <si>
    <t xml:space="preserve">ESTRUCTURA PRINCIPAL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</si>
</sst>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([$€]* #,##0.00_);_([$€]* \(#,##0.00\);_([$€]* &quot;-&quot;??_);_(@_)"/>
    <numFmt numFmtId="166" formatCode="[$€]#,##0.00\ ;[$€]\(#,##0.00\);[$€]\-#\ ;@\ "/>
    <numFmt numFmtId="167" formatCode="_(* #,##0.00_);_(* \(#,##0.00\);_(* &quot;-&quot;??_);_(@_)"/>
  </numFmts>
  <fonts count="37" x14ac:knownFonts="1">
    <font>
      <sz val="10"/>
      <name val="Arial"/>
      <family val="2"/>
    </font>
    <font>
      <b/>
      <sz val="10"/>
      <name val="Arial"/>
    </font>
    <font>
      <sz val="8"/>
      <name val="Arial"/>
    </font>
    <font>
      <b/>
      <sz val="8"/>
      <color indexed="62"/>
      <name val="Arial"/>
    </font>
    <font>
      <sz val="8"/>
      <name val="Tahoma"/>
    </font>
    <font>
      <b/>
      <sz val="8"/>
      <color indexed="12"/>
      <name val="Arial"/>
    </font>
    <font>
      <b/>
      <sz val="8"/>
      <color indexed="14"/>
      <name val="Arial"/>
    </font>
    <font>
      <b/>
      <sz val="8"/>
      <color rgb="FF000000"/>
      <name val="Arial"/>
    </font>
    <font>
      <b/>
      <sz val="8"/>
      <name val="Arial"/>
    </font>
    <font>
      <b/>
      <i/>
      <sz val="8"/>
      <color rgb="FF000000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rgb="FFFF0000"/>
      <name val="Tahoma"/>
    </font>
    <font>
      <b/>
      <sz val="8"/>
      <color rgb="FFFF0000"/>
      <name val="Arial"/>
    </font>
    <font>
      <b/>
      <sz val="8"/>
      <color rgb="FFC00000"/>
      <name val="Arial"/>
    </font>
    <font>
      <b/>
      <sz val="8"/>
      <color rgb="FF008000"/>
      <name val="Arial"/>
    </font>
    <font>
      <sz val="8"/>
      <color rgb="FF4169E1"/>
      <name val="Arial"/>
    </font>
    <font>
      <b/>
      <sz val="8"/>
      <color rgb="FF4169E1"/>
      <name val="Arial"/>
    </font>
    <font>
      <sz val="8"/>
      <color rgb="FFFF0000"/>
      <name val="Arial"/>
    </font>
    <font>
      <b/>
      <sz val="8"/>
      <color indexed="56"/>
      <name val="Arial"/>
    </font>
    <font>
      <sz val="10"/>
      <name val="Tahoma"/>
    </font>
    <font>
      <b/>
      <sz val="12"/>
      <name val="Arial"/>
    </font>
    <font>
      <b/>
      <sz val="11"/>
      <color theme="0"/>
      <name val="Calibri"/>
      <scheme val="minor"/>
    </font>
    <font>
      <b/>
      <sz val="10"/>
      <color theme="1"/>
      <name val="Arial"/>
    </font>
    <font>
      <b/>
      <sz val="10"/>
      <color theme="0"/>
      <name val="Arial"/>
    </font>
    <font>
      <b/>
      <sz val="11"/>
      <color theme="1"/>
      <name val="Calibri"/>
      <scheme val="minor"/>
    </font>
    <font>
      <sz val="10"/>
      <color theme="1"/>
      <name val="Arial"/>
    </font>
    <font>
      <b/>
      <sz val="10"/>
      <color theme="1"/>
      <name val="Cambria"/>
      <family val="1"/>
    </font>
    <font>
      <b/>
      <sz val="14"/>
      <color theme="1"/>
      <name val="Cambria"/>
      <family val="1"/>
    </font>
    <font>
      <sz val="10"/>
      <name val="Cambria"/>
      <family val="1"/>
    </font>
    <font>
      <sz val="10"/>
      <color theme="1"/>
      <name val="Cambria"/>
      <family val="1"/>
    </font>
    <font>
      <b/>
      <sz val="11"/>
      <name val="Cambria"/>
      <family val="1"/>
    </font>
    <font>
      <sz val="11"/>
      <color theme="1"/>
      <name val="Calibri"/>
      <scheme val="minor"/>
    </font>
    <font>
      <u/>
      <sz val="7.5"/>
      <color indexed="12"/>
      <name val="Arial"/>
    </font>
    <font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4A460"/>
      </patternFill>
    </fill>
    <fill>
      <patternFill patternType="solid">
        <fgColor rgb="FFF08080"/>
      </patternFill>
    </fill>
    <fill>
      <patternFill patternType="solid">
        <fgColor rgb="FFF4A4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9389629810485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theme="1"/>
      </left>
      <right style="dotted">
        <color theme="1"/>
      </right>
      <top style="dotted">
        <color indexed="64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2" tint="-0.49998474074526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theme="2" tint="-0.499984740745262"/>
      </right>
      <top/>
      <bottom style="dotted">
        <color indexed="64"/>
      </bottom>
      <diagonal/>
    </border>
    <border>
      <left style="dotted">
        <color theme="2" tint="-0.499984740745262"/>
      </left>
      <right style="dotted">
        <color theme="2" tint="-0.499984740745262"/>
      </right>
      <top/>
      <bottom style="dotted">
        <color theme="2" tint="-0.499984740745262"/>
      </bottom>
      <diagonal/>
    </border>
    <border>
      <left style="dotted">
        <color theme="2" tint="-0.499984740745262"/>
      </left>
      <right style="dotted">
        <color theme="2" tint="-0.499984740745262"/>
      </right>
      <top/>
      <bottom style="dotted">
        <color indexed="64"/>
      </bottom>
      <diagonal/>
    </border>
    <border>
      <left style="dotted">
        <color theme="2" tint="-0.499984740745262"/>
      </left>
      <right/>
      <top/>
      <bottom style="dotted">
        <color indexed="64"/>
      </bottom>
      <diagonal/>
    </border>
    <border>
      <left style="dotted">
        <color theme="2" tint="-0.499984740745262"/>
      </left>
      <right style="medium">
        <color indexed="64"/>
      </right>
      <top/>
      <bottom style="dotted">
        <color indexed="64"/>
      </bottom>
      <diagonal/>
    </border>
    <border>
      <left style="dotted">
        <color theme="2" tint="-0.499984740745262"/>
      </left>
      <right/>
      <top style="dotted">
        <color theme="2" tint="-0.499984740745262"/>
      </top>
      <bottom style="dotted">
        <color theme="2" tint="-0.499984740745262"/>
      </bottom>
      <diagonal/>
    </border>
    <border>
      <left style="medium">
        <color indexed="64"/>
      </left>
      <right style="dotted">
        <color theme="2" tint="-0.499984740745262"/>
      </right>
      <top/>
      <bottom style="dotted">
        <color theme="2" tint="-0.499984740745262"/>
      </bottom>
      <diagonal/>
    </border>
    <border>
      <left style="dotted">
        <color theme="2" tint="-0.499984740745262"/>
      </left>
      <right/>
      <top/>
      <bottom style="dotted">
        <color theme="2" tint="-0.499984740745262"/>
      </bottom>
      <diagonal/>
    </border>
    <border>
      <left style="dotted">
        <color theme="2" tint="-0.499984740745262"/>
      </left>
      <right style="medium">
        <color indexed="64"/>
      </right>
      <top/>
      <bottom style="dotted">
        <color theme="2" tint="-0.499984740745262"/>
      </bottom>
      <diagonal/>
    </border>
    <border>
      <left style="dotted">
        <color theme="2" tint="-0.499984740745262"/>
      </left>
      <right style="dotted">
        <color theme="2" tint="-0.499984740745262"/>
      </right>
      <top/>
      <bottom/>
      <diagonal/>
    </border>
    <border>
      <left style="dotted">
        <color theme="2" tint="-0.499984740745262"/>
      </left>
      <right style="dotted">
        <color theme="2" tint="-0.499984740745262"/>
      </right>
      <top style="dotted">
        <color theme="2" tint="-0.499984740745262"/>
      </top>
      <bottom style="dotted">
        <color theme="2" tint="-0.499984740745262"/>
      </bottom>
      <diagonal/>
    </border>
    <border>
      <left style="dotted">
        <color theme="2" tint="-0.499984740745262"/>
      </left>
      <right style="dotted">
        <color theme="2" tint="-0.499984740745262"/>
      </right>
      <top style="dotted">
        <color indexed="64"/>
      </top>
      <bottom style="dotted">
        <color theme="2" tint="-0.499984740745262"/>
      </bottom>
      <diagonal/>
    </border>
    <border>
      <left style="dotted">
        <color theme="2" tint="-0.499984740745262"/>
      </left>
      <right style="medium">
        <color indexed="64"/>
      </right>
      <top style="dotted">
        <color theme="2" tint="-0.499984740745262"/>
      </top>
      <bottom style="dotted">
        <color theme="2" tint="-0.499984740745262"/>
      </bottom>
      <diagonal/>
    </border>
    <border>
      <left style="medium">
        <color indexed="64"/>
      </left>
      <right style="dotted">
        <color theme="2" tint="-0.499984740745262"/>
      </right>
      <top style="dotted">
        <color indexed="64"/>
      </top>
      <bottom style="hair">
        <color indexed="64"/>
      </bottom>
      <diagonal/>
    </border>
    <border>
      <left/>
      <right style="dotted">
        <color theme="2" tint="-0.499984740745262"/>
      </right>
      <top style="dotted">
        <color theme="2" tint="-0.499984740745262"/>
      </top>
      <bottom style="dotted">
        <color theme="2" tint="-0.499984740745262"/>
      </bottom>
      <diagonal/>
    </border>
    <border>
      <left style="dotted">
        <color indexed="64"/>
      </left>
      <right/>
      <top/>
      <bottom/>
      <diagonal/>
    </border>
  </borders>
  <cellStyleXfs count="77">
    <xf numFmtId="0" fontId="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2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left"/>
    </xf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166" fontId="34" fillId="0" borderId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left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21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2" fontId="2" fillId="0" borderId="0" xfId="0" applyNumberFormat="1" applyFont="1"/>
    <xf numFmtId="164" fontId="3" fillId="3" borderId="1" xfId="1" applyNumberFormat="1" applyFont="1" applyFill="1" applyBorder="1" applyAlignment="1">
      <alignment horizontal="center" vertical="center"/>
    </xf>
    <xf numFmtId="0" fontId="4" fillId="3" borderId="0" xfId="2" applyFont="1" applyFill="1"/>
    <xf numFmtId="0" fontId="4" fillId="0" borderId="2" xfId="2" applyFont="1" applyBorder="1" applyAlignment="1">
      <alignment vertical="center"/>
    </xf>
    <xf numFmtId="0" fontId="5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  <xf numFmtId="3" fontId="2" fillId="0" borderId="3" xfId="1" applyNumberFormat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2" fontId="2" fillId="0" borderId="0" xfId="1" applyNumberFormat="1" applyFont="1" applyAlignment="1">
      <alignment vertical="center"/>
    </xf>
    <xf numFmtId="3" fontId="2" fillId="0" borderId="0" xfId="1" applyNumberFormat="1" applyFont="1" applyAlignment="1">
      <alignment vertical="center"/>
    </xf>
    <xf numFmtId="0" fontId="2" fillId="0" borderId="9" xfId="1" applyFont="1" applyBorder="1" applyAlignment="1">
      <alignment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2" fontId="2" fillId="0" borderId="11" xfId="1" applyNumberFormat="1" applyFont="1" applyBorder="1" applyAlignment="1">
      <alignment vertical="center"/>
    </xf>
    <xf numFmtId="3" fontId="2" fillId="0" borderId="11" xfId="1" applyNumberFormat="1" applyFont="1" applyBorder="1" applyAlignment="1">
      <alignment vertical="center"/>
    </xf>
    <xf numFmtId="0" fontId="4" fillId="0" borderId="0" xfId="2" applyFont="1"/>
    <xf numFmtId="2" fontId="10" fillId="0" borderId="0" xfId="2" applyNumberFormat="1" applyFont="1"/>
    <xf numFmtId="2" fontId="2" fillId="0" borderId="0" xfId="2" applyNumberFormat="1" applyFont="1"/>
    <xf numFmtId="0" fontId="10" fillId="0" borderId="0" xfId="2" applyFont="1"/>
    <xf numFmtId="0" fontId="10" fillId="5" borderId="15" xfId="1" applyFont="1" applyFill="1" applyBorder="1" applyAlignment="1">
      <alignment horizontal="center" vertical="center"/>
    </xf>
    <xf numFmtId="0" fontId="11" fillId="6" borderId="16" xfId="1" applyFont="1" applyFill="1" applyBorder="1" applyAlignment="1">
      <alignment horizontal="center" vertical="center"/>
    </xf>
    <xf numFmtId="0" fontId="11" fillId="6" borderId="17" xfId="1" applyFont="1" applyFill="1" applyBorder="1" applyAlignment="1">
      <alignment horizontal="center" vertical="center"/>
    </xf>
    <xf numFmtId="0" fontId="11" fillId="6" borderId="15" xfId="1" applyFont="1" applyFill="1" applyBorder="1" applyAlignment="1">
      <alignment horizontal="center" vertical="center"/>
    </xf>
    <xf numFmtId="2" fontId="11" fillId="6" borderId="15" xfId="1" applyNumberFormat="1" applyFont="1" applyFill="1" applyBorder="1" applyAlignment="1">
      <alignment horizontal="center" vertical="center"/>
    </xf>
    <xf numFmtId="2" fontId="11" fillId="6" borderId="15" xfId="1" applyNumberFormat="1" applyFont="1" applyFill="1" applyBorder="1" applyAlignment="1">
      <alignment horizontal="center" vertical="center" wrapText="1"/>
    </xf>
    <xf numFmtId="0" fontId="11" fillId="6" borderId="15" xfId="1" applyFont="1" applyFill="1" applyBorder="1" applyAlignment="1">
      <alignment horizontal="center" vertical="center" wrapText="1"/>
    </xf>
    <xf numFmtId="164" fontId="11" fillId="6" borderId="15" xfId="1" applyNumberFormat="1" applyFont="1" applyFill="1" applyBorder="1" applyAlignment="1">
      <alignment horizontal="center" vertical="center" wrapText="1"/>
    </xf>
    <xf numFmtId="0" fontId="4" fillId="7" borderId="18" xfId="2" applyFont="1" applyFill="1" applyBorder="1"/>
    <xf numFmtId="0" fontId="12" fillId="7" borderId="18" xfId="2" applyFont="1" applyFill="1" applyBorder="1"/>
    <xf numFmtId="0" fontId="8" fillId="7" borderId="18" xfId="2" applyFont="1" applyFill="1" applyBorder="1"/>
    <xf numFmtId="0" fontId="8" fillId="7" borderId="18" xfId="2" applyFont="1" applyFill="1" applyBorder="1" applyAlignment="1">
      <alignment horizontal="center"/>
    </xf>
    <xf numFmtId="0" fontId="8" fillId="7" borderId="19" xfId="0" applyFont="1" applyFill="1" applyBorder="1"/>
    <xf numFmtId="0" fontId="13" fillId="7" borderId="18" xfId="2" applyFont="1" applyFill="1" applyBorder="1" applyAlignment="1">
      <alignment horizontal="left"/>
    </xf>
    <xf numFmtId="2" fontId="8" fillId="8" borderId="18" xfId="2" applyNumberFormat="1" applyFont="1" applyFill="1" applyBorder="1"/>
    <xf numFmtId="2" fontId="13" fillId="7" borderId="18" xfId="2" applyNumberFormat="1" applyFont="1" applyFill="1" applyBorder="1"/>
    <xf numFmtId="2" fontId="11" fillId="7" borderId="18" xfId="2" applyNumberFormat="1" applyFont="1" applyFill="1" applyBorder="1"/>
    <xf numFmtId="4" fontId="14" fillId="9" borderId="20" xfId="1" applyNumberFormat="1" applyFont="1" applyFill="1" applyBorder="1" applyAlignment="1">
      <alignment horizontal="center" vertical="center"/>
    </xf>
    <xf numFmtId="0" fontId="11" fillId="7" borderId="18" xfId="2" applyFont="1" applyFill="1" applyBorder="1"/>
    <xf numFmtId="0" fontId="13" fillId="7" borderId="18" xfId="2" applyFont="1" applyFill="1" applyBorder="1"/>
    <xf numFmtId="0" fontId="8" fillId="7" borderId="0" xfId="0" applyFont="1" applyFill="1"/>
    <xf numFmtId="0" fontId="8" fillId="0" borderId="19" xfId="0" applyFont="1" applyBorder="1"/>
    <xf numFmtId="0" fontId="15" fillId="0" borderId="19" xfId="0" applyFont="1" applyBorder="1"/>
    <xf numFmtId="0" fontId="2" fillId="0" borderId="19" xfId="0" applyFont="1" applyBorder="1"/>
    <xf numFmtId="0" fontId="16" fillId="8" borderId="19" xfId="0" applyFont="1" applyFill="1" applyBorder="1"/>
    <xf numFmtId="0" fontId="17" fillId="8" borderId="19" xfId="0" applyFont="1" applyFill="1" applyBorder="1"/>
    <xf numFmtId="2" fontId="8" fillId="0" borderId="19" xfId="0" applyNumberFormat="1" applyFont="1" applyBorder="1"/>
    <xf numFmtId="2" fontId="2" fillId="0" borderId="19" xfId="0" applyNumberFormat="1" applyFont="1" applyBorder="1"/>
    <xf numFmtId="4" fontId="18" fillId="4" borderId="20" xfId="1" applyNumberFormat="1" applyFont="1" applyFill="1" applyBorder="1" applyAlignment="1">
      <alignment horizontal="center" vertical="center"/>
    </xf>
    <xf numFmtId="0" fontId="2" fillId="7" borderId="19" xfId="0" applyFont="1" applyFill="1" applyBorder="1"/>
    <xf numFmtId="0" fontId="13" fillId="7" borderId="19" xfId="0" applyFont="1" applyFill="1" applyBorder="1"/>
    <xf numFmtId="2" fontId="8" fillId="8" borderId="19" xfId="0" applyNumberFormat="1" applyFont="1" applyFill="1" applyBorder="1"/>
    <xf numFmtId="2" fontId="13" fillId="7" borderId="19" xfId="0" applyNumberFormat="1" applyFont="1" applyFill="1" applyBorder="1"/>
    <xf numFmtId="2" fontId="8" fillId="7" borderId="19" xfId="0" applyNumberFormat="1" applyFont="1" applyFill="1" applyBorder="1"/>
    <xf numFmtId="2" fontId="8" fillId="7" borderId="0" xfId="0" applyNumberFormat="1" applyFont="1" applyFill="1"/>
    <xf numFmtId="0" fontId="4" fillId="0" borderId="18" xfId="2" applyFont="1" applyBorder="1"/>
    <xf numFmtId="0" fontId="2" fillId="0" borderId="18" xfId="2" applyFont="1" applyBorder="1"/>
    <xf numFmtId="0" fontId="2" fillId="0" borderId="18" xfId="2" applyFont="1" applyBorder="1" applyAlignment="1">
      <alignment horizontal="center"/>
    </xf>
    <xf numFmtId="0" fontId="2" fillId="0" borderId="18" xfId="2" applyFont="1" applyBorder="1" applyAlignment="1">
      <alignment horizontal="left"/>
    </xf>
    <xf numFmtId="2" fontId="2" fillId="0" borderId="18" xfId="2" applyNumberFormat="1" applyFont="1" applyBorder="1"/>
    <xf numFmtId="2" fontId="10" fillId="0" borderId="18" xfId="2" applyNumberFormat="1" applyFont="1" applyBorder="1"/>
    <xf numFmtId="0" fontId="10" fillId="0" borderId="18" xfId="2" applyFont="1" applyBorder="1"/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19" fillId="0" borderId="0" xfId="0" applyFont="1"/>
    <xf numFmtId="2" fontId="19" fillId="0" borderId="0" xfId="0" applyNumberFormat="1" applyFont="1"/>
    <xf numFmtId="2" fontId="8" fillId="0" borderId="1" xfId="1" applyNumberFormat="1" applyFont="1" applyBorder="1" applyAlignment="1">
      <alignment horizontal="center" vertical="center"/>
    </xf>
    <xf numFmtId="2" fontId="8" fillId="10" borderId="21" xfId="1" applyNumberFormat="1" applyFont="1" applyFill="1" applyBorder="1" applyAlignment="1">
      <alignment horizontal="center" vertical="center"/>
    </xf>
    <xf numFmtId="2" fontId="8" fillId="11" borderId="22" xfId="1" applyNumberFormat="1" applyFont="1" applyFill="1" applyBorder="1" applyAlignment="1">
      <alignment horizontal="center" vertical="center"/>
    </xf>
    <xf numFmtId="2" fontId="8" fillId="11" borderId="0" xfId="1" applyNumberFormat="1" applyFont="1" applyFill="1" applyAlignment="1">
      <alignment horizontal="center" vertical="center"/>
    </xf>
    <xf numFmtId="0" fontId="8" fillId="11" borderId="0" xfId="1" applyFont="1" applyFill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2" fillId="0" borderId="0" xfId="2" applyNumberFormat="1" applyFont="1" applyAlignment="1">
      <alignment horizontal="center"/>
    </xf>
    <xf numFmtId="0" fontId="8" fillId="0" borderId="0" xfId="1" applyFont="1" applyAlignment="1">
      <alignment horizontal="right" vertical="center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19" fillId="0" borderId="0" xfId="0" applyNumberFormat="1" applyFont="1" applyAlignment="1">
      <alignment horizontal="left"/>
    </xf>
    <xf numFmtId="2" fontId="10" fillId="0" borderId="0" xfId="0" applyNumberFormat="1" applyFont="1"/>
    <xf numFmtId="0" fontId="10" fillId="0" borderId="0" xfId="0" applyFont="1"/>
    <xf numFmtId="0" fontId="2" fillId="0" borderId="0" xfId="1" applyFont="1" applyAlignment="1">
      <alignment vertical="center"/>
    </xf>
    <xf numFmtId="0" fontId="8" fillId="0" borderId="11" xfId="0" applyFont="1" applyBorder="1"/>
    <xf numFmtId="49" fontId="8" fillId="0" borderId="11" xfId="1" applyNumberFormat="1" applyFont="1" applyBorder="1" applyAlignment="1">
      <alignment horizontal="left"/>
    </xf>
    <xf numFmtId="1" fontId="2" fillId="0" borderId="23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2" fontId="19" fillId="0" borderId="23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1" applyFont="1" applyAlignment="1">
      <alignment vertical="center" shrinkToFit="1"/>
    </xf>
    <xf numFmtId="2" fontId="2" fillId="0" borderId="0" xfId="1" applyNumberFormat="1" applyFont="1" applyAlignment="1">
      <alignment horizontal="right" vertical="center"/>
    </xf>
    <xf numFmtId="1" fontId="2" fillId="0" borderId="6" xfId="0" applyNumberFormat="1" applyFont="1" applyBorder="1" applyAlignment="1">
      <alignment horizontal="center"/>
    </xf>
    <xf numFmtId="0" fontId="1" fillId="12" borderId="3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49" fontId="21" fillId="13" borderId="0" xfId="0" applyNumberFormat="1" applyFont="1" applyFill="1"/>
    <xf numFmtId="49" fontId="21" fillId="13" borderId="27" xfId="0" applyNumberFormat="1" applyFont="1" applyFill="1" applyBorder="1"/>
    <xf numFmtId="49" fontId="21" fillId="13" borderId="28" xfId="0" applyNumberFormat="1" applyFont="1" applyFill="1" applyBorder="1"/>
    <xf numFmtId="49" fontId="21" fillId="13" borderId="29" xfId="0" applyNumberFormat="1" applyFont="1" applyFill="1" applyBorder="1"/>
    <xf numFmtId="0" fontId="22" fillId="14" borderId="22" xfId="0" applyFont="1" applyFill="1" applyBorder="1" applyAlignment="1">
      <alignment horizontal="center" vertical="center"/>
    </xf>
    <xf numFmtId="0" fontId="23" fillId="15" borderId="26" xfId="0" applyFont="1" applyFill="1" applyBorder="1"/>
    <xf numFmtId="0" fontId="23" fillId="15" borderId="25" xfId="0" applyFont="1" applyFill="1" applyBorder="1"/>
    <xf numFmtId="0" fontId="24" fillId="16" borderId="26" xfId="0" applyFont="1" applyFill="1" applyBorder="1"/>
    <xf numFmtId="0" fontId="24" fillId="16" borderId="25" xfId="0" applyFont="1" applyFill="1" applyBorder="1"/>
    <xf numFmtId="0" fontId="25" fillId="11" borderId="14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/>
    </xf>
    <xf numFmtId="0" fontId="26" fillId="12" borderId="21" xfId="0" applyFont="1" applyFill="1" applyBorder="1"/>
    <xf numFmtId="0" fontId="26" fillId="12" borderId="6" xfId="0" applyFont="1" applyFill="1" applyBorder="1"/>
    <xf numFmtId="0" fontId="26" fillId="15" borderId="21" xfId="0" applyFont="1" applyFill="1" applyBorder="1"/>
    <xf numFmtId="0" fontId="26" fillId="15" borderId="6" xfId="0" applyFont="1" applyFill="1" applyBorder="1"/>
    <xf numFmtId="0" fontId="26" fillId="15" borderId="26" xfId="0" applyFont="1" applyFill="1" applyBorder="1"/>
    <xf numFmtId="0" fontId="26" fillId="15" borderId="25" xfId="0" applyFont="1" applyFill="1" applyBorder="1"/>
    <xf numFmtId="0" fontId="25" fillId="11" borderId="6" xfId="0" applyFont="1" applyFill="1" applyBorder="1" applyAlignment="1">
      <alignment horizontal="center" vertical="center" wrapText="1"/>
    </xf>
    <xf numFmtId="0" fontId="26" fillId="0" borderId="0" xfId="0" applyFont="1"/>
    <xf numFmtId="0" fontId="26" fillId="12" borderId="26" xfId="0" applyFont="1" applyFill="1" applyBorder="1"/>
    <xf numFmtId="0" fontId="26" fillId="12" borderId="25" xfId="0" applyFont="1" applyFill="1" applyBorder="1"/>
    <xf numFmtId="0" fontId="26" fillId="12" borderId="0" xfId="0" applyFont="1" applyFill="1"/>
    <xf numFmtId="49" fontId="0" fillId="0" borderId="0" xfId="0" applyNumberFormat="1"/>
    <xf numFmtId="0" fontId="0" fillId="17" borderId="0" xfId="0" applyFill="1"/>
    <xf numFmtId="49" fontId="0" fillId="17" borderId="0" xfId="0" applyNumberFormat="1" applyFill="1"/>
    <xf numFmtId="0" fontId="21" fillId="18" borderId="0" xfId="0" applyFont="1" applyFill="1" applyAlignment="1">
      <alignment horizontal="center" vertical="center"/>
    </xf>
    <xf numFmtId="0" fontId="25" fillId="13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0" fillId="19" borderId="6" xfId="0" applyFill="1" applyBorder="1"/>
    <xf numFmtId="0" fontId="0" fillId="0" borderId="0" xfId="0" applyAlignment="1">
      <alignment horizontal="center"/>
    </xf>
    <xf numFmtId="0" fontId="27" fillId="20" borderId="32" xfId="0" applyFont="1" applyFill="1" applyBorder="1" applyAlignment="1">
      <alignment horizontal="center" vertical="center"/>
    </xf>
    <xf numFmtId="0" fontId="27" fillId="20" borderId="33" xfId="0" applyFont="1" applyFill="1" applyBorder="1" applyAlignment="1">
      <alignment horizontal="center" vertical="center" wrapText="1"/>
    </xf>
    <xf numFmtId="0" fontId="27" fillId="20" borderId="34" xfId="0" applyFont="1" applyFill="1" applyBorder="1" applyAlignment="1">
      <alignment horizontal="center" vertical="center" wrapText="1"/>
    </xf>
    <xf numFmtId="0" fontId="28" fillId="21" borderId="34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0" fillId="18" borderId="0" xfId="0" applyFill="1"/>
    <xf numFmtId="0" fontId="29" fillId="18" borderId="0" xfId="7" applyFont="1" applyFill="1" applyAlignment="1">
      <alignment horizontal="center" vertical="center"/>
    </xf>
    <xf numFmtId="0" fontId="21" fillId="18" borderId="0" xfId="0" applyFont="1" applyFill="1" applyAlignment="1">
      <alignment horizontal="center"/>
    </xf>
    <xf numFmtId="0" fontId="29" fillId="0" borderId="35" xfId="7" applyFont="1" applyBorder="1" applyAlignment="1">
      <alignment horizontal="center" vertical="center"/>
    </xf>
    <xf numFmtId="0" fontId="29" fillId="0" borderId="36" xfId="7" applyFont="1" applyBorder="1" applyAlignment="1">
      <alignment horizontal="left" vertical="center" wrapText="1"/>
    </xf>
    <xf numFmtId="0" fontId="29" fillId="0" borderId="37" xfId="7" applyFont="1" applyBorder="1" applyAlignment="1">
      <alignment horizontal="left" vertical="center" wrapText="1"/>
    </xf>
    <xf numFmtId="0" fontId="29" fillId="0" borderId="37" xfId="7" applyFont="1" applyBorder="1" applyAlignment="1">
      <alignment horizontal="left" vertical="center"/>
    </xf>
    <xf numFmtId="0" fontId="29" fillId="0" borderId="38" xfId="7" applyFont="1" applyBorder="1" applyAlignment="1">
      <alignment horizontal="left" vertical="center" wrapText="1"/>
    </xf>
    <xf numFmtId="0" fontId="29" fillId="11" borderId="38" xfId="7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left" vertical="center"/>
    </xf>
    <xf numFmtId="0" fontId="34" fillId="0" borderId="0" xfId="7" applyAlignment="1">
      <alignment horizontal="left" vertical="center"/>
    </xf>
    <xf numFmtId="0" fontId="29" fillId="22" borderId="40" xfId="7" applyFont="1" applyFill="1" applyBorder="1" applyAlignment="1">
      <alignment horizontal="center" vertical="center" wrapText="1"/>
    </xf>
    <xf numFmtId="0" fontId="29" fillId="0" borderId="41" xfId="7" applyFont="1" applyBorder="1" applyAlignment="1">
      <alignment horizontal="center" vertical="center"/>
    </xf>
    <xf numFmtId="0" fontId="29" fillId="0" borderId="36" xfId="7" applyFont="1" applyBorder="1" applyAlignment="1">
      <alignment horizontal="left" vertical="center"/>
    </xf>
    <xf numFmtId="0" fontId="29" fillId="0" borderId="42" xfId="7" applyFont="1" applyBorder="1" applyAlignment="1">
      <alignment horizontal="left" vertical="center"/>
    </xf>
    <xf numFmtId="0" fontId="29" fillId="11" borderId="42" xfId="7" applyFont="1" applyFill="1" applyBorder="1" applyAlignment="1">
      <alignment horizontal="center" vertical="center"/>
    </xf>
    <xf numFmtId="0" fontId="30" fillId="0" borderId="43" xfId="0" applyFont="1" applyBorder="1" applyAlignment="1">
      <alignment horizontal="left" vertical="center"/>
    </xf>
    <xf numFmtId="0" fontId="29" fillId="0" borderId="44" xfId="7" applyFont="1" applyBorder="1" applyAlignment="1">
      <alignment horizontal="left" vertical="center"/>
    </xf>
    <xf numFmtId="0" fontId="29" fillId="4" borderId="42" xfId="7" applyFont="1" applyFill="1" applyBorder="1" applyAlignment="1">
      <alignment horizontal="left" vertical="center"/>
    </xf>
    <xf numFmtId="0" fontId="29" fillId="0" borderId="45" xfId="7" applyFont="1" applyBorder="1" applyAlignment="1">
      <alignment horizontal="left" vertical="center" wrapText="1"/>
    </xf>
    <xf numFmtId="0" fontId="29" fillId="0" borderId="46" xfId="7" applyFont="1" applyBorder="1" applyAlignment="1">
      <alignment horizontal="left" vertical="center"/>
    </xf>
    <xf numFmtId="0" fontId="29" fillId="0" borderId="40" xfId="7" applyFont="1" applyBorder="1" applyAlignment="1">
      <alignment horizontal="left" vertical="center" wrapText="1"/>
    </xf>
    <xf numFmtId="0" fontId="29" fillId="11" borderId="40" xfId="7" applyFont="1" applyFill="1" applyBorder="1" applyAlignment="1">
      <alignment horizontal="center" vertical="center" wrapText="1"/>
    </xf>
    <xf numFmtId="0" fontId="30" fillId="0" borderId="47" xfId="0" applyFont="1" applyBorder="1" applyAlignment="1">
      <alignment horizontal="left" vertical="center"/>
    </xf>
    <xf numFmtId="0" fontId="29" fillId="4" borderId="45" xfId="7" applyFont="1" applyFill="1" applyBorder="1" applyAlignment="1">
      <alignment horizontal="left" vertical="center" wrapText="1"/>
    </xf>
    <xf numFmtId="0" fontId="29" fillId="23" borderId="40" xfId="7" applyFont="1" applyFill="1" applyBorder="1" applyAlignment="1">
      <alignment horizontal="center" vertical="center" wrapText="1"/>
    </xf>
    <xf numFmtId="0" fontId="29" fillId="0" borderId="45" xfId="7" applyFont="1" applyBorder="1" applyAlignment="1">
      <alignment horizontal="left" vertical="center"/>
    </xf>
    <xf numFmtId="0" fontId="29" fillId="11" borderId="45" xfId="7" applyFont="1" applyFill="1" applyBorder="1" applyAlignment="1">
      <alignment horizontal="center" vertical="center" wrapText="1"/>
    </xf>
    <xf numFmtId="0" fontId="29" fillId="0" borderId="48" xfId="7" applyFont="1" applyBorder="1" applyAlignment="1">
      <alignment horizontal="center" vertical="center"/>
    </xf>
    <xf numFmtId="0" fontId="29" fillId="0" borderId="45" xfId="7" applyFont="1" applyBorder="1" applyAlignment="1">
      <alignment horizontal="center" vertical="center"/>
    </xf>
    <xf numFmtId="0" fontId="29" fillId="0" borderId="45" xfId="7" applyFont="1" applyBorder="1" applyAlignment="1">
      <alignment vertical="center" wrapText="1"/>
    </xf>
    <xf numFmtId="0" fontId="29" fillId="0" borderId="40" xfId="7" applyFont="1" applyBorder="1" applyAlignment="1">
      <alignment horizontal="center" vertical="center"/>
    </xf>
    <xf numFmtId="0" fontId="29" fillId="11" borderId="40" xfId="7" applyFont="1" applyFill="1" applyBorder="1" applyAlignment="1">
      <alignment horizontal="center" vertical="center"/>
    </xf>
    <xf numFmtId="0" fontId="29" fillId="23" borderId="40" xfId="7" applyFont="1" applyFill="1" applyBorder="1" applyAlignment="1">
      <alignment horizontal="center" vertical="center"/>
    </xf>
    <xf numFmtId="0" fontId="29" fillId="4" borderId="40" xfId="7" applyFont="1" applyFill="1" applyBorder="1" applyAlignment="1">
      <alignment horizontal="center" vertical="center"/>
    </xf>
    <xf numFmtId="0" fontId="29" fillId="21" borderId="40" xfId="7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left" vertical="center"/>
    </xf>
    <xf numFmtId="0" fontId="29" fillId="0" borderId="49" xfId="7" applyFont="1" applyBorder="1" applyAlignment="1">
      <alignment vertical="center" wrapText="1"/>
    </xf>
    <xf numFmtId="0" fontId="29" fillId="13" borderId="40" xfId="7" applyFont="1" applyFill="1" applyBorder="1" applyAlignment="1">
      <alignment horizontal="center" vertical="center"/>
    </xf>
    <xf numFmtId="0" fontId="30" fillId="13" borderId="47" xfId="0" applyFont="1" applyFill="1" applyBorder="1" applyAlignment="1">
      <alignment horizontal="left" vertical="center"/>
    </xf>
    <xf numFmtId="0" fontId="29" fillId="13" borderId="40" xfId="7" applyFont="1" applyFill="1" applyBorder="1" applyAlignment="1">
      <alignment horizontal="center" vertical="center" wrapText="1"/>
    </xf>
    <xf numFmtId="0" fontId="29" fillId="24" borderId="40" xfId="7" applyFont="1" applyFill="1" applyBorder="1" applyAlignment="1">
      <alignment horizontal="center" vertical="center"/>
    </xf>
    <xf numFmtId="0" fontId="29" fillId="24" borderId="40" xfId="7" applyFont="1" applyFill="1" applyBorder="1" applyAlignment="1">
      <alignment horizontal="center" vertical="center" wrapText="1"/>
    </xf>
    <xf numFmtId="0" fontId="30" fillId="24" borderId="47" xfId="0" applyFont="1" applyFill="1" applyBorder="1" applyAlignment="1">
      <alignment horizontal="left" vertical="center"/>
    </xf>
    <xf numFmtId="0" fontId="29" fillId="0" borderId="18" xfId="7" applyFont="1" applyBorder="1" applyAlignment="1">
      <alignment horizontal="center" vertical="center"/>
    </xf>
    <xf numFmtId="0" fontId="30" fillId="11" borderId="47" xfId="0" applyFont="1" applyFill="1" applyBorder="1" applyAlignment="1">
      <alignment horizontal="left" vertical="center"/>
    </xf>
    <xf numFmtId="0" fontId="29" fillId="25" borderId="40" xfId="7" applyFont="1" applyFill="1" applyBorder="1" applyAlignment="1">
      <alignment horizontal="center" vertical="center"/>
    </xf>
    <xf numFmtId="0" fontId="29" fillId="25" borderId="40" xfId="7" applyFont="1" applyFill="1" applyBorder="1" applyAlignment="1">
      <alignment horizontal="center" vertical="center" wrapText="1"/>
    </xf>
    <xf numFmtId="0" fontId="30" fillId="25" borderId="47" xfId="0" applyFont="1" applyFill="1" applyBorder="1" applyAlignment="1">
      <alignment horizontal="left" vertical="center"/>
    </xf>
    <xf numFmtId="0" fontId="29" fillId="0" borderId="50" xfId="7" applyFont="1" applyBorder="1" applyAlignment="1">
      <alignment horizontal="center" vertical="center"/>
    </xf>
    <xf numFmtId="0" fontId="29" fillId="0" borderId="0" xfId="7" applyFont="1" applyAlignment="1">
      <alignment vertical="center" wrapText="1"/>
    </xf>
    <xf numFmtId="0" fontId="29" fillId="0" borderId="0" xfId="7" applyFont="1" applyAlignment="1">
      <alignment horizontal="left" vertical="center" wrapText="1"/>
    </xf>
    <xf numFmtId="0" fontId="29" fillId="0" borderId="0" xfId="7" applyFont="1" applyAlignment="1">
      <alignment horizontal="center" vertical="center"/>
    </xf>
    <xf numFmtId="0" fontId="29" fillId="25" borderId="0" xfId="7" applyFont="1" applyFill="1" applyAlignment="1">
      <alignment horizontal="center" vertical="center"/>
    </xf>
    <xf numFmtId="0" fontId="29" fillId="26" borderId="0" xfId="7" applyFont="1" applyFill="1" applyAlignment="1">
      <alignment horizontal="center" vertical="center" wrapText="1"/>
    </xf>
    <xf numFmtId="0" fontId="0" fillId="26" borderId="0" xfId="0" applyFill="1" applyAlignment="1">
      <alignment horizontal="center"/>
    </xf>
    <xf numFmtId="0" fontId="30" fillId="25" borderId="24" xfId="0" applyFont="1" applyFill="1" applyBorder="1" applyAlignment="1">
      <alignment horizontal="left" vertical="center"/>
    </xf>
    <xf numFmtId="0" fontId="29" fillId="25" borderId="0" xfId="7" applyFont="1" applyFill="1" applyAlignment="1">
      <alignment horizontal="center" vertical="center" wrapText="1"/>
    </xf>
    <xf numFmtId="0" fontId="29" fillId="27" borderId="40" xfId="7" applyFont="1" applyFill="1" applyBorder="1" applyAlignment="1">
      <alignment horizontal="center" vertical="center" wrapText="1"/>
    </xf>
    <xf numFmtId="0" fontId="29" fillId="28" borderId="40" xfId="7" applyFont="1" applyFill="1" applyBorder="1" applyAlignment="1">
      <alignment horizontal="center" vertical="center" wrapText="1"/>
    </xf>
    <xf numFmtId="0" fontId="29" fillId="29" borderId="40" xfId="7" applyFont="1" applyFill="1" applyBorder="1" applyAlignment="1">
      <alignment horizontal="center" vertical="center" wrapText="1"/>
    </xf>
    <xf numFmtId="0" fontId="29" fillId="0" borderId="0" xfId="7" applyFont="1" applyAlignment="1">
      <alignment horizontal="center" vertical="center" wrapText="1"/>
    </xf>
    <xf numFmtId="0" fontId="29" fillId="4" borderId="40" xfId="7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11" borderId="19" xfId="0" applyFont="1" applyFill="1" applyBorder="1"/>
    <xf numFmtId="2" fontId="36" fillId="0" borderId="19" xfId="0" applyNumberFormat="1" applyFont="1" applyBorder="1"/>
    <xf numFmtId="0" fontId="35" fillId="0" borderId="2" xfId="2" applyFont="1" applyBorder="1" applyAlignment="1">
      <alignment horizontal="center"/>
    </xf>
    <xf numFmtId="0" fontId="35" fillId="0" borderId="3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35" fillId="0" borderId="5" xfId="2" applyFont="1" applyBorder="1" applyAlignment="1">
      <alignment horizontal="center"/>
    </xf>
    <xf numFmtId="49" fontId="7" fillId="0" borderId="0" xfId="0" applyNumberFormat="1" applyFont="1" applyAlignment="1">
      <alignment horizontal="center" vertical="center" readingOrder="2"/>
    </xf>
    <xf numFmtId="49" fontId="7" fillId="0" borderId="0" xfId="0" applyNumberFormat="1" applyFont="1" applyAlignment="1">
      <alignment horizontal="center" vertical="center" wrapText="1" readingOrder="2"/>
    </xf>
    <xf numFmtId="49" fontId="9" fillId="0" borderId="13" xfId="0" applyNumberFormat="1" applyFont="1" applyBorder="1" applyAlignment="1">
      <alignment horizontal="center" vertical="center" wrapText="1" readingOrder="2"/>
    </xf>
    <xf numFmtId="49" fontId="7" fillId="0" borderId="13" xfId="0" applyNumberFormat="1" applyFont="1" applyBorder="1" applyAlignment="1">
      <alignment horizontal="center" vertical="center" readingOrder="2"/>
    </xf>
    <xf numFmtId="49" fontId="31" fillId="0" borderId="50" xfId="7" applyNumberFormat="1" applyFont="1" applyBorder="1"/>
    <xf numFmtId="49" fontId="31" fillId="0" borderId="0" xfId="7" applyNumberFormat="1" applyFont="1"/>
    <xf numFmtId="49" fontId="31" fillId="0" borderId="24" xfId="7" applyNumberFormat="1" applyFont="1" applyBorder="1"/>
    <xf numFmtId="0" fontId="2" fillId="4" borderId="19" xfId="0" applyFont="1" applyFill="1" applyBorder="1"/>
  </cellXfs>
  <cellStyles count="77">
    <cellStyle name="Categoría del Piloto de Datos" xfId="8" xr:uid="{00000000-0005-0000-0000-000011000000}"/>
    <cellStyle name="Categoría del Piloto de Datos 2" xfId="9" xr:uid="{00000000-0005-0000-0000-000012000000}"/>
    <cellStyle name="Euro" xfId="6" xr:uid="{00000000-0005-0000-0000-00000E000000}"/>
    <cellStyle name="Euro 1" xfId="10" xr:uid="{00000000-0005-0000-0000-000013000000}"/>
    <cellStyle name="Euro 1 2" xfId="11" xr:uid="{00000000-0005-0000-0000-000014000000}"/>
    <cellStyle name="Euro 10" xfId="12" xr:uid="{00000000-0005-0000-0000-000015000000}"/>
    <cellStyle name="Euro 10 2" xfId="13" xr:uid="{00000000-0005-0000-0000-000016000000}"/>
    <cellStyle name="Euro 11" xfId="14" xr:uid="{00000000-0005-0000-0000-000017000000}"/>
    <cellStyle name="Euro 11 2" xfId="15" xr:uid="{00000000-0005-0000-0000-000018000000}"/>
    <cellStyle name="Euro 12" xfId="16" xr:uid="{00000000-0005-0000-0000-000019000000}"/>
    <cellStyle name="Euro 12 2" xfId="17" xr:uid="{00000000-0005-0000-0000-00001A000000}"/>
    <cellStyle name="Euro 13" xfId="18" xr:uid="{00000000-0005-0000-0000-00001B000000}"/>
    <cellStyle name="Euro 13 2" xfId="19" xr:uid="{00000000-0005-0000-0000-00001C000000}"/>
    <cellStyle name="Euro 14" xfId="20" xr:uid="{00000000-0005-0000-0000-00001D000000}"/>
    <cellStyle name="Euro 14 2" xfId="21" xr:uid="{00000000-0005-0000-0000-00001E000000}"/>
    <cellStyle name="Euro 15" xfId="22" xr:uid="{00000000-0005-0000-0000-00001F000000}"/>
    <cellStyle name="Euro 15 2" xfId="23" xr:uid="{00000000-0005-0000-0000-000020000000}"/>
    <cellStyle name="Euro 16" xfId="24" xr:uid="{00000000-0005-0000-0000-000021000000}"/>
    <cellStyle name="Euro 16 2" xfId="25" xr:uid="{00000000-0005-0000-0000-000022000000}"/>
    <cellStyle name="Euro 17" xfId="26" xr:uid="{00000000-0005-0000-0000-000023000000}"/>
    <cellStyle name="Euro 17 2" xfId="27" xr:uid="{00000000-0005-0000-0000-000024000000}"/>
    <cellStyle name="Euro 18" xfId="28" xr:uid="{00000000-0005-0000-0000-000025000000}"/>
    <cellStyle name="Euro 18 2" xfId="29" xr:uid="{00000000-0005-0000-0000-000026000000}"/>
    <cellStyle name="Euro 19" xfId="30" xr:uid="{00000000-0005-0000-0000-000027000000}"/>
    <cellStyle name="Euro 19 2" xfId="31" xr:uid="{00000000-0005-0000-0000-000028000000}"/>
    <cellStyle name="Euro 2" xfId="32" xr:uid="{00000000-0005-0000-0000-000029000000}"/>
    <cellStyle name="Euro 2 2" xfId="33" xr:uid="{00000000-0005-0000-0000-00002A000000}"/>
    <cellStyle name="Euro 20" xfId="34" xr:uid="{00000000-0005-0000-0000-00002B000000}"/>
    <cellStyle name="Euro 20 2" xfId="35" xr:uid="{00000000-0005-0000-0000-00002C000000}"/>
    <cellStyle name="Euro 21" xfId="36" xr:uid="{00000000-0005-0000-0000-00002D000000}"/>
    <cellStyle name="Euro 3" xfId="37" xr:uid="{00000000-0005-0000-0000-00002E000000}"/>
    <cellStyle name="Euro 3 2" xfId="38" xr:uid="{00000000-0005-0000-0000-00002F000000}"/>
    <cellStyle name="Euro 4" xfId="39" xr:uid="{00000000-0005-0000-0000-000030000000}"/>
    <cellStyle name="Euro 4 2" xfId="40" xr:uid="{00000000-0005-0000-0000-000031000000}"/>
    <cellStyle name="Euro 5" xfId="41" xr:uid="{00000000-0005-0000-0000-000032000000}"/>
    <cellStyle name="Euro 5 2" xfId="42" xr:uid="{00000000-0005-0000-0000-000033000000}"/>
    <cellStyle name="Euro 6" xfId="43" xr:uid="{00000000-0005-0000-0000-000034000000}"/>
    <cellStyle name="Euro 6 2" xfId="44" xr:uid="{00000000-0005-0000-0000-000035000000}"/>
    <cellStyle name="Euro 7" xfId="45" xr:uid="{00000000-0005-0000-0000-000036000000}"/>
    <cellStyle name="Euro 7 2" xfId="46" xr:uid="{00000000-0005-0000-0000-000037000000}"/>
    <cellStyle name="Euro 8" xfId="47" xr:uid="{00000000-0005-0000-0000-000038000000}"/>
    <cellStyle name="Euro 8 2" xfId="48" xr:uid="{00000000-0005-0000-0000-000039000000}"/>
    <cellStyle name="Euro 9" xfId="49" xr:uid="{00000000-0005-0000-0000-00003A000000}"/>
    <cellStyle name="Euro 9 2" xfId="50" xr:uid="{00000000-0005-0000-0000-00003B000000}"/>
    <cellStyle name="Euro_Ampliacion Portico 69 kv" xfId="51" xr:uid="{00000000-0005-0000-0000-00003C000000}"/>
    <cellStyle name="Hipervínculo 2" xfId="52" xr:uid="{00000000-0005-0000-0000-00003D000000}"/>
    <cellStyle name="Millares 2" xfId="53" xr:uid="{00000000-0005-0000-0000-00003E000000}"/>
    <cellStyle name="Millares 2 2" xfId="54" xr:uid="{00000000-0005-0000-0000-00003F000000}"/>
    <cellStyle name="Normal" xfId="0" builtinId="0"/>
    <cellStyle name="Normal 10" xfId="7" xr:uid="{00000000-0005-0000-0000-000010000000}"/>
    <cellStyle name="Normal 2" xfId="55" xr:uid="{00000000-0005-0000-0000-000040000000}"/>
    <cellStyle name="Normal 2 2" xfId="3" xr:uid="{00000000-0005-0000-0000-000007000000}"/>
    <cellStyle name="Normal 2 2 2" xfId="56" xr:uid="{00000000-0005-0000-0000-000041000000}"/>
    <cellStyle name="Normal 2 3" xfId="2" xr:uid="{00000000-0005-0000-0000-000002000000}"/>
    <cellStyle name="Normal 2 4" xfId="57" xr:uid="{00000000-0005-0000-0000-000042000000}"/>
    <cellStyle name="Normal 2_OT-2008-033 SUMINISTRO DE E.PARA LA SUB ESTACION S.ROSA" xfId="4" xr:uid="{00000000-0005-0000-0000-00000A000000}"/>
    <cellStyle name="Normal 3" xfId="58" xr:uid="{00000000-0005-0000-0000-000043000000}"/>
    <cellStyle name="Normal 3 2" xfId="59" xr:uid="{00000000-0005-0000-0000-000044000000}"/>
    <cellStyle name="Normal 4" xfId="60" xr:uid="{00000000-0005-0000-0000-000045000000}"/>
    <cellStyle name="Normal 4 2" xfId="61" xr:uid="{00000000-0005-0000-0000-000046000000}"/>
    <cellStyle name="Normal 4 2 2" xfId="62" xr:uid="{00000000-0005-0000-0000-000047000000}"/>
    <cellStyle name="Normal 4 3" xfId="63" xr:uid="{00000000-0005-0000-0000-000048000000}"/>
    <cellStyle name="Normal 5" xfId="64" xr:uid="{00000000-0005-0000-0000-000049000000}"/>
    <cellStyle name="Normal 5 2" xfId="65" xr:uid="{00000000-0005-0000-0000-00004A000000}"/>
    <cellStyle name="Normal 5 3" xfId="66" xr:uid="{00000000-0005-0000-0000-00004B000000}"/>
    <cellStyle name="Normal 6" xfId="5" xr:uid="{00000000-0005-0000-0000-00000C000000}"/>
    <cellStyle name="Normal_CUBIERTA METALICA 1" xfId="1" xr:uid="{00000000-0005-0000-0000-000001000000}"/>
    <cellStyle name="Piloto de Datos Ángulo" xfId="67" xr:uid="{00000000-0005-0000-0000-00004C000000}"/>
    <cellStyle name="Piloto de Datos Ángulo 2" xfId="68" xr:uid="{00000000-0005-0000-0000-00004D000000}"/>
    <cellStyle name="Piloto de Datos Campo" xfId="69" xr:uid="{00000000-0005-0000-0000-00004E000000}"/>
    <cellStyle name="Piloto de Datos Campo 2" xfId="70" xr:uid="{00000000-0005-0000-0000-00004F000000}"/>
    <cellStyle name="Piloto de Datos Resultado" xfId="71" xr:uid="{00000000-0005-0000-0000-000050000000}"/>
    <cellStyle name="Piloto de Datos Resultado 2" xfId="72" xr:uid="{00000000-0005-0000-0000-000051000000}"/>
    <cellStyle name="Piloto de Datos Título" xfId="73" xr:uid="{00000000-0005-0000-0000-000052000000}"/>
    <cellStyle name="Piloto de Datos Título 2" xfId="74" xr:uid="{00000000-0005-0000-0000-000053000000}"/>
    <cellStyle name="Piloto de Datos Valor" xfId="75" xr:uid="{00000000-0005-0000-0000-000054000000}"/>
    <cellStyle name="Piloto de Datos Valor 2" xfId="76" xr:uid="{00000000-0005-0000-0000-000055000000}"/>
  </cellStyles>
  <dxfs count="23">
    <dxf>
      <fill>
        <patternFill>
          <bgColor indexed="45"/>
        </patternFill>
      </fill>
    </dxf>
    <dxf>
      <fill>
        <patternFill>
          <bgColor indexed="27"/>
        </patternFill>
      </fill>
    </dxf>
    <dxf>
      <fill>
        <patternFill>
          <bgColor indexed="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0</xdr:row>
      <xdr:rowOff>9525</xdr:rowOff>
    </xdr:from>
    <xdr:to>
      <xdr:col>5</xdr:col>
      <xdr:colOff>409575</xdr:colOff>
      <xdr:row>3</xdr:row>
      <xdr:rowOff>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3990975" y="9525"/>
          <a:ext cx="0" cy="742950"/>
        </a:xfrm>
        <a:prstGeom prst="line">
          <a:avLst/>
        </a:prstGeom>
        <a:noFill/>
        <a:ln w="9525">
          <a:noFill/>
          <a:round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sedemi\SEDEMI%20S.C.C\COMPRAS\REQUISICIONES%20DE%20%20MATERIALES\SOLICITUD%20MATERIALES%202007\2007-SOL%20100-%20MAT.%20OT2007-086%20Estructura%20metalica%20y%20cubierta%20para%20Ampliacion%20de%20Limoncocha%2011-CONDU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sedemi\SEDEMI%20S.C.C\COMPRAS\REQUISICIONES%20DE%20%20MATERIALES\SOLICITUD%20MATERIALES%202007\2007-SOL%20117-%20MAT.%20OT2007-90%20Estructura%20metalica%20Plataformas%20Cabina,Horno-primer-PROCOP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emigroup\3%20SEDEMI%20SCC\2%20INGENIERIA\MATERIALES%20INGENIERIA\MATERIALES%20SEDEMI%20INGENIERIA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Q GENERAL"/>
      <sheetName val="SOLICITUD MATERIALES"/>
      <sheetName val="Hoja1"/>
      <sheetName val="C&amp;PP"/>
    </sheetNames>
    <sheetDataSet>
      <sheetData sheetId="0">
        <row r="3">
          <cell r="A3" t="str">
            <v>ITEM</v>
          </cell>
          <cell r="B3" t="str">
            <v>CODIGO</v>
          </cell>
          <cell r="C3" t="str">
            <v>MATERIAL</v>
          </cell>
          <cell r="D3" t="str">
            <v>PESO (kg/m)</v>
          </cell>
          <cell r="E3" t="str">
            <v>PESOU/REAL</v>
          </cell>
          <cell r="F3" t="str">
            <v>PRECIO PERF</v>
          </cell>
          <cell r="G3" t="str">
            <v>PR/KG</v>
          </cell>
        </row>
        <row r="4">
          <cell r="A4">
            <v>1</v>
          </cell>
          <cell r="B4" t="str">
            <v>ACASA ANGULOS</v>
          </cell>
          <cell r="C4" t="str">
            <v>Angulos L 1 1/2" x 1 1/2"x1/8"</v>
          </cell>
          <cell r="D4">
            <v>1.8</v>
          </cell>
          <cell r="E4">
            <v>1.8</v>
          </cell>
          <cell r="F4">
            <v>140</v>
          </cell>
          <cell r="G4">
            <v>0</v>
          </cell>
        </row>
        <row r="5">
          <cell r="A5">
            <v>2</v>
          </cell>
          <cell r="B5" t="str">
            <v>ACASA ANGULOS</v>
          </cell>
          <cell r="C5" t="str">
            <v>Angulos L 1 1/2" x 1 1/2"x3/16"</v>
          </cell>
          <cell r="D5">
            <v>2.7</v>
          </cell>
          <cell r="E5">
            <v>2.7</v>
          </cell>
          <cell r="F5">
            <v>160</v>
          </cell>
          <cell r="G5">
            <v>0</v>
          </cell>
        </row>
        <row r="6">
          <cell r="A6">
            <v>3</v>
          </cell>
          <cell r="B6" t="str">
            <v>ACASA ANGULOS</v>
          </cell>
          <cell r="C6" t="str">
            <v>AngulosL 1 1/2" x 1 1/2"x1/4"</v>
          </cell>
          <cell r="D6">
            <v>3.4</v>
          </cell>
          <cell r="E6">
            <v>3.4</v>
          </cell>
          <cell r="F6">
            <v>180</v>
          </cell>
          <cell r="G6">
            <v>0</v>
          </cell>
        </row>
        <row r="7">
          <cell r="A7">
            <v>4</v>
          </cell>
          <cell r="B7" t="str">
            <v>ACASA ANGULOS</v>
          </cell>
          <cell r="C7" t="str">
            <v xml:space="preserve">Angulos L 1 3/4" x 1 3/4x1/8" </v>
          </cell>
          <cell r="D7">
            <v>2.1</v>
          </cell>
          <cell r="E7">
            <v>2.1</v>
          </cell>
          <cell r="F7">
            <v>200</v>
          </cell>
          <cell r="G7">
            <v>0</v>
          </cell>
        </row>
        <row r="8">
          <cell r="A8">
            <v>5</v>
          </cell>
          <cell r="B8" t="str">
            <v>ACASA ANGULOS</v>
          </cell>
          <cell r="C8" t="str">
            <v>Angulos L 1 3/4" x 1 3/4x 3/16"</v>
          </cell>
          <cell r="D8">
            <v>3.1</v>
          </cell>
          <cell r="E8">
            <v>3.1</v>
          </cell>
          <cell r="F8">
            <v>220</v>
          </cell>
          <cell r="G8">
            <v>0</v>
          </cell>
        </row>
        <row r="9">
          <cell r="A9">
            <v>6</v>
          </cell>
          <cell r="B9" t="str">
            <v>ACASA ANGULOS</v>
          </cell>
          <cell r="C9" t="str">
            <v>Angulos L 1 3/4" x 1 3/4x 1/4"</v>
          </cell>
          <cell r="D9">
            <v>4.0999999999999996</v>
          </cell>
          <cell r="E9">
            <v>4.0999999999999996</v>
          </cell>
          <cell r="F9">
            <v>240</v>
          </cell>
          <cell r="G9">
            <v>0</v>
          </cell>
        </row>
        <row r="10">
          <cell r="A10">
            <v>7</v>
          </cell>
          <cell r="B10" t="str">
            <v>ACASA ANGULOS</v>
          </cell>
          <cell r="C10" t="str">
            <v xml:space="preserve">Angulos L 2" x 2" x 1/8"  </v>
          </cell>
          <cell r="D10">
            <v>2.4</v>
          </cell>
          <cell r="E10">
            <v>2.4</v>
          </cell>
          <cell r="F10">
            <v>260</v>
          </cell>
          <cell r="G10">
            <v>0</v>
          </cell>
        </row>
        <row r="11">
          <cell r="A11">
            <v>8</v>
          </cell>
          <cell r="B11" t="str">
            <v>ACASA ANGULOS</v>
          </cell>
          <cell r="C11" t="str">
            <v>Angulos L 2" x 2" x 3/16"</v>
          </cell>
          <cell r="D11">
            <v>3.6</v>
          </cell>
          <cell r="E11">
            <v>3.6</v>
          </cell>
          <cell r="F11">
            <v>280</v>
          </cell>
          <cell r="G11">
            <v>0</v>
          </cell>
        </row>
        <row r="12">
          <cell r="A12">
            <v>9</v>
          </cell>
          <cell r="B12" t="str">
            <v>ACASA ANGULOS</v>
          </cell>
          <cell r="C12" t="str">
            <v>Angulos L 2" x 2" x 1/4"</v>
          </cell>
          <cell r="D12">
            <v>4.7</v>
          </cell>
          <cell r="E12">
            <v>4.7</v>
          </cell>
          <cell r="F12">
            <v>300</v>
          </cell>
          <cell r="G12">
            <v>0</v>
          </cell>
        </row>
        <row r="13">
          <cell r="A13">
            <v>10</v>
          </cell>
          <cell r="B13" t="str">
            <v>ACASA ANGULOS</v>
          </cell>
          <cell r="C13" t="str">
            <v>Angulos L 2 1/2" x 2 1/2" x 3/16"</v>
          </cell>
          <cell r="D13">
            <v>4.5999999999999996</v>
          </cell>
          <cell r="E13">
            <v>4.5999999999999996</v>
          </cell>
          <cell r="F13">
            <v>300</v>
          </cell>
          <cell r="G13">
            <v>0</v>
          </cell>
        </row>
        <row r="14">
          <cell r="A14">
            <v>11</v>
          </cell>
          <cell r="B14" t="str">
            <v>ACASA ANGULOS</v>
          </cell>
          <cell r="C14" t="str">
            <v>Angulos L 2 1/2" x 2 1/2" x 1/4"</v>
          </cell>
          <cell r="D14">
            <v>6.1</v>
          </cell>
          <cell r="E14">
            <v>6.1</v>
          </cell>
          <cell r="F14">
            <v>300</v>
          </cell>
          <cell r="G14">
            <v>0</v>
          </cell>
        </row>
        <row r="15">
          <cell r="A15">
            <v>12</v>
          </cell>
          <cell r="B15" t="str">
            <v>ACASA ANGULOS</v>
          </cell>
          <cell r="C15" t="str">
            <v>Angulos L 3" x 3" x 1/4"</v>
          </cell>
          <cell r="D15">
            <v>7.3</v>
          </cell>
          <cell r="E15">
            <v>7.3</v>
          </cell>
          <cell r="F15">
            <v>300</v>
          </cell>
          <cell r="G15">
            <v>0</v>
          </cell>
        </row>
        <row r="16">
          <cell r="A16">
            <v>13</v>
          </cell>
          <cell r="B16" t="str">
            <v>ACASA ANGULOS</v>
          </cell>
          <cell r="C16" t="str">
            <v>Angulos L 3" x 3" x 5/16"</v>
          </cell>
          <cell r="D16">
            <v>9.1</v>
          </cell>
          <cell r="E16">
            <v>9.1</v>
          </cell>
          <cell r="F16">
            <v>300</v>
          </cell>
          <cell r="G16">
            <v>0</v>
          </cell>
        </row>
        <row r="17">
          <cell r="A17">
            <v>14</v>
          </cell>
          <cell r="B17" t="str">
            <v>ACASA ANGULOS</v>
          </cell>
          <cell r="C17" t="str">
            <v>Angulos L 3" x 3" x 3/8"</v>
          </cell>
          <cell r="D17">
            <v>10.7</v>
          </cell>
          <cell r="E17">
            <v>10.7</v>
          </cell>
          <cell r="F17">
            <v>300</v>
          </cell>
          <cell r="G17">
            <v>0</v>
          </cell>
        </row>
        <row r="18">
          <cell r="A18">
            <v>15</v>
          </cell>
          <cell r="B18" t="str">
            <v>ACASA ANGULOS</v>
          </cell>
          <cell r="C18" t="str">
            <v>Angulos L 4" x 4" x 1/4"</v>
          </cell>
          <cell r="D18">
            <v>9.8000000000000007</v>
          </cell>
          <cell r="E18">
            <v>9.8000000000000007</v>
          </cell>
          <cell r="F18">
            <v>300</v>
          </cell>
          <cell r="G18">
            <v>0</v>
          </cell>
        </row>
        <row r="19">
          <cell r="A19">
            <v>16</v>
          </cell>
          <cell r="B19" t="str">
            <v>ACASA ANGULOS</v>
          </cell>
          <cell r="C19" t="str">
            <v>Angulos L 4" x 4" x 5/16"</v>
          </cell>
          <cell r="D19">
            <v>12.2</v>
          </cell>
          <cell r="E19">
            <v>12.2</v>
          </cell>
          <cell r="F19">
            <v>300</v>
          </cell>
          <cell r="G19">
            <v>0</v>
          </cell>
        </row>
        <row r="20">
          <cell r="A20">
            <v>17</v>
          </cell>
          <cell r="B20" t="str">
            <v>ACASA ANGULOS</v>
          </cell>
          <cell r="C20" t="str">
            <v>Angulos L 4" x 4" x 3/8"</v>
          </cell>
          <cell r="D20">
            <v>14.6</v>
          </cell>
          <cell r="E20">
            <v>14.6</v>
          </cell>
          <cell r="F20">
            <v>300</v>
          </cell>
          <cell r="G20">
            <v>0</v>
          </cell>
        </row>
        <row r="21">
          <cell r="A21">
            <v>18</v>
          </cell>
          <cell r="B21" t="str">
            <v>ACASA ANGULOS</v>
          </cell>
          <cell r="C21" t="str">
            <v>Angulos L 4" x 4" x 1/2"</v>
          </cell>
          <cell r="D21">
            <v>19</v>
          </cell>
          <cell r="E21">
            <v>19</v>
          </cell>
          <cell r="F21">
            <v>100</v>
          </cell>
          <cell r="G21">
            <v>0</v>
          </cell>
        </row>
        <row r="22">
          <cell r="A22">
            <v>19</v>
          </cell>
          <cell r="B22" t="str">
            <v>ACEROPAXI ANGULOS</v>
          </cell>
          <cell r="C22" t="str">
            <v>Angulos L 20 x 20 x 2</v>
          </cell>
          <cell r="D22">
            <v>0.6</v>
          </cell>
          <cell r="E22">
            <v>0.6</v>
          </cell>
          <cell r="F22">
            <v>120</v>
          </cell>
          <cell r="G22">
            <v>0</v>
          </cell>
        </row>
        <row r="23">
          <cell r="A23">
            <v>20</v>
          </cell>
          <cell r="B23" t="str">
            <v>ACEROPAXI ANGULOS</v>
          </cell>
          <cell r="C23" t="str">
            <v>Angulos L 20 x 20 x 3</v>
          </cell>
          <cell r="D23">
            <v>0.87</v>
          </cell>
          <cell r="E23">
            <v>0.87</v>
          </cell>
          <cell r="F23">
            <v>140</v>
          </cell>
          <cell r="G23">
            <v>0</v>
          </cell>
        </row>
        <row r="24">
          <cell r="A24">
            <v>21</v>
          </cell>
          <cell r="B24" t="str">
            <v>ACEROPAXI ANGULOS</v>
          </cell>
          <cell r="C24" t="str">
            <v>Angulos L 25 x 25 x 2</v>
          </cell>
          <cell r="D24">
            <v>0.75</v>
          </cell>
          <cell r="E24">
            <v>0.75</v>
          </cell>
          <cell r="F24">
            <v>160</v>
          </cell>
          <cell r="G24">
            <v>0</v>
          </cell>
        </row>
        <row r="25">
          <cell r="A25">
            <v>22</v>
          </cell>
          <cell r="B25" t="str">
            <v>ACEROPAXI ANGULOS</v>
          </cell>
          <cell r="C25" t="str">
            <v>Angulos L 25 x 25 x 3</v>
          </cell>
          <cell r="D25">
            <v>1.1100000000000001</v>
          </cell>
          <cell r="E25">
            <v>1.1100000000000001</v>
          </cell>
          <cell r="F25">
            <v>180</v>
          </cell>
          <cell r="G25">
            <v>0</v>
          </cell>
        </row>
        <row r="26">
          <cell r="A26">
            <v>23</v>
          </cell>
          <cell r="B26" t="str">
            <v>ACEROPAXI ANGULOS</v>
          </cell>
          <cell r="C26" t="str">
            <v>Angulos L 25 x 25 x 4</v>
          </cell>
          <cell r="D26">
            <v>1.45</v>
          </cell>
          <cell r="E26">
            <v>1.45</v>
          </cell>
          <cell r="F26">
            <v>200</v>
          </cell>
          <cell r="G26">
            <v>0</v>
          </cell>
        </row>
        <row r="27">
          <cell r="A27">
            <v>24</v>
          </cell>
          <cell r="B27" t="str">
            <v>ACEROPAXI ANGULOS</v>
          </cell>
          <cell r="C27" t="str">
            <v>Angulos L 30 x 30 x 3</v>
          </cell>
          <cell r="D27">
            <v>1.34</v>
          </cell>
          <cell r="E27">
            <v>1.34</v>
          </cell>
          <cell r="F27">
            <v>220</v>
          </cell>
          <cell r="G27">
            <v>0</v>
          </cell>
        </row>
        <row r="28">
          <cell r="A28">
            <v>25</v>
          </cell>
          <cell r="B28" t="str">
            <v>ACEROPAXI ANGULOS</v>
          </cell>
          <cell r="C28" t="str">
            <v>Angulos L 30 x 30 x 4</v>
          </cell>
          <cell r="D28">
            <v>1.76</v>
          </cell>
          <cell r="E28">
            <v>1.76</v>
          </cell>
          <cell r="F28">
            <v>240</v>
          </cell>
          <cell r="G28">
            <v>0</v>
          </cell>
        </row>
        <row r="29">
          <cell r="A29">
            <v>26</v>
          </cell>
          <cell r="B29" t="str">
            <v>ACEROPAXI ANGULOS</v>
          </cell>
          <cell r="C29" t="str">
            <v>Angulos L 40 x 40 x 3</v>
          </cell>
          <cell r="D29">
            <v>1.81</v>
          </cell>
          <cell r="E29">
            <v>1.81</v>
          </cell>
          <cell r="F29">
            <v>260</v>
          </cell>
          <cell r="G29">
            <v>0</v>
          </cell>
        </row>
        <row r="30">
          <cell r="A30">
            <v>27</v>
          </cell>
          <cell r="B30" t="str">
            <v>ACEROPAXI ANGULOS</v>
          </cell>
          <cell r="C30" t="str">
            <v>Angulos L 40 x 40 x 4</v>
          </cell>
          <cell r="D30">
            <v>2.39</v>
          </cell>
          <cell r="E30">
            <v>2.39</v>
          </cell>
          <cell r="F30">
            <v>280</v>
          </cell>
          <cell r="G30">
            <v>0</v>
          </cell>
        </row>
        <row r="31">
          <cell r="A31">
            <v>28</v>
          </cell>
          <cell r="B31" t="str">
            <v>ACEROPAXI ANGULOS</v>
          </cell>
          <cell r="C31" t="str">
            <v>Angulos L 40 x 40 x 6</v>
          </cell>
          <cell r="D31">
            <v>3.49</v>
          </cell>
          <cell r="E31">
            <v>3.49</v>
          </cell>
          <cell r="F31">
            <v>280</v>
          </cell>
          <cell r="G31">
            <v>0</v>
          </cell>
        </row>
        <row r="32">
          <cell r="A32">
            <v>29</v>
          </cell>
          <cell r="B32" t="str">
            <v>ACEROPAXI ANGULOS</v>
          </cell>
          <cell r="C32" t="str">
            <v>Angulos L 50 x 50 x 3</v>
          </cell>
          <cell r="D32">
            <v>2.29</v>
          </cell>
          <cell r="E32">
            <v>2.29</v>
          </cell>
          <cell r="F32">
            <v>38</v>
          </cell>
          <cell r="G32">
            <v>0</v>
          </cell>
        </row>
        <row r="33">
          <cell r="A33">
            <v>30</v>
          </cell>
          <cell r="B33" t="str">
            <v>ACEROPAXI ANGULOS</v>
          </cell>
          <cell r="C33" t="str">
            <v>Angulos L 50 x 50 x 4</v>
          </cell>
          <cell r="D33">
            <v>3.02</v>
          </cell>
          <cell r="E33">
            <v>3.02</v>
          </cell>
          <cell r="F33">
            <v>42</v>
          </cell>
          <cell r="G33">
            <v>0</v>
          </cell>
        </row>
        <row r="34">
          <cell r="A34">
            <v>31</v>
          </cell>
          <cell r="B34" t="str">
            <v>ACEROPAXI ANGULOS</v>
          </cell>
          <cell r="C34" t="str">
            <v>Angulos L 50 x 50 x 6</v>
          </cell>
          <cell r="D34">
            <v>4.43</v>
          </cell>
          <cell r="E34">
            <v>4.43</v>
          </cell>
          <cell r="F34">
            <v>45</v>
          </cell>
          <cell r="G34">
            <v>0</v>
          </cell>
        </row>
        <row r="35">
          <cell r="A35">
            <v>32</v>
          </cell>
          <cell r="B35" t="str">
            <v>ACEROPAXI ANGULOS</v>
          </cell>
          <cell r="C35" t="str">
            <v>Angulos L 60 x 60 x 6</v>
          </cell>
          <cell r="D35">
            <v>5.37</v>
          </cell>
          <cell r="E35">
            <v>5.37</v>
          </cell>
          <cell r="F35">
            <v>50</v>
          </cell>
          <cell r="G35">
            <v>0</v>
          </cell>
        </row>
        <row r="36">
          <cell r="A36">
            <v>33</v>
          </cell>
          <cell r="B36" t="str">
            <v>ACEROPAXI ANGULOS</v>
          </cell>
          <cell r="C36" t="str">
            <v>Angulos L 60 x 60 x 8</v>
          </cell>
          <cell r="D36">
            <v>7.09</v>
          </cell>
          <cell r="E36">
            <v>7.09</v>
          </cell>
          <cell r="F36">
            <v>55</v>
          </cell>
          <cell r="G36">
            <v>0</v>
          </cell>
        </row>
        <row r="37">
          <cell r="A37">
            <v>34</v>
          </cell>
          <cell r="B37" t="str">
            <v>ACEROPAXI ANGULOS</v>
          </cell>
          <cell r="C37" t="str">
            <v>Angulos L 65 x 65 x 6</v>
          </cell>
          <cell r="D37">
            <v>5.84</v>
          </cell>
          <cell r="E37">
            <v>5.84</v>
          </cell>
          <cell r="F37">
            <v>60</v>
          </cell>
          <cell r="G37">
            <v>0</v>
          </cell>
        </row>
        <row r="38">
          <cell r="A38">
            <v>35</v>
          </cell>
          <cell r="B38" t="str">
            <v>ACEROPAXI ANGULOS</v>
          </cell>
          <cell r="C38" t="str">
            <v>Angulos L 70 x 70 x 6</v>
          </cell>
          <cell r="D38">
            <v>6.32</v>
          </cell>
          <cell r="E38">
            <v>6.32</v>
          </cell>
          <cell r="F38">
            <v>65</v>
          </cell>
          <cell r="G38">
            <v>0</v>
          </cell>
        </row>
        <row r="39">
          <cell r="A39">
            <v>36</v>
          </cell>
          <cell r="B39" t="str">
            <v>ACEROPAXI ANGULOS</v>
          </cell>
          <cell r="C39" t="str">
            <v>Angulos L 75 x 75 x 6</v>
          </cell>
          <cell r="D39">
            <v>6.78</v>
          </cell>
          <cell r="E39">
            <v>6.78</v>
          </cell>
          <cell r="F39">
            <v>70</v>
          </cell>
          <cell r="G39">
            <v>0</v>
          </cell>
        </row>
        <row r="40">
          <cell r="A40">
            <v>37</v>
          </cell>
          <cell r="B40" t="str">
            <v>ACEROPAXI ANGULOS</v>
          </cell>
          <cell r="C40" t="str">
            <v>Angulos L 75 x 75 x 8</v>
          </cell>
          <cell r="D40">
            <v>8.92</v>
          </cell>
          <cell r="E40">
            <v>8.92</v>
          </cell>
          <cell r="F40">
            <v>75</v>
          </cell>
          <cell r="G40">
            <v>0</v>
          </cell>
        </row>
        <row r="41">
          <cell r="A41">
            <v>38</v>
          </cell>
          <cell r="B41" t="str">
            <v>ACEROPAXI ANGULOS</v>
          </cell>
          <cell r="C41" t="str">
            <v>Anguos L 100 x 100 x 6</v>
          </cell>
          <cell r="D41">
            <v>9.14</v>
          </cell>
          <cell r="E41">
            <v>9.14</v>
          </cell>
          <cell r="F41">
            <v>80</v>
          </cell>
          <cell r="G41">
            <v>0</v>
          </cell>
        </row>
        <row r="42">
          <cell r="A42">
            <v>39</v>
          </cell>
          <cell r="B42" t="str">
            <v>ACEROPAXI ANGULOS</v>
          </cell>
          <cell r="C42" t="str">
            <v>Angulos L 100 x 100 x 8</v>
          </cell>
          <cell r="D42">
            <v>12.06</v>
          </cell>
          <cell r="E42">
            <v>12.06</v>
          </cell>
          <cell r="F42">
            <v>85</v>
          </cell>
          <cell r="G42">
            <v>0</v>
          </cell>
        </row>
        <row r="43">
          <cell r="A43">
            <v>40</v>
          </cell>
          <cell r="B43" t="str">
            <v>ACEROPAXI ANGULOS</v>
          </cell>
          <cell r="C43" t="str">
            <v>Angulos L 100 x 100 x 10</v>
          </cell>
          <cell r="D43">
            <v>15.04</v>
          </cell>
          <cell r="E43">
            <v>15.04</v>
          </cell>
          <cell r="F43">
            <v>90</v>
          </cell>
          <cell r="G43">
            <v>0</v>
          </cell>
        </row>
        <row r="44">
          <cell r="A44">
            <v>41</v>
          </cell>
          <cell r="B44" t="str">
            <v>ACEROPAXI ANGULOS</v>
          </cell>
          <cell r="C44" t="str">
            <v>Angulos L 100 x 100 x 12</v>
          </cell>
          <cell r="D44">
            <v>17.71</v>
          </cell>
          <cell r="E44">
            <v>17.71</v>
          </cell>
          <cell r="F44">
            <v>95</v>
          </cell>
          <cell r="G44">
            <v>0</v>
          </cell>
        </row>
        <row r="45">
          <cell r="A45">
            <v>42</v>
          </cell>
          <cell r="B45" t="str">
            <v>ACEROPAXI PLATINAS</v>
          </cell>
          <cell r="C45" t="str">
            <v>Platinas Pt12x 3</v>
          </cell>
          <cell r="D45">
            <v>0.28000000000000003</v>
          </cell>
          <cell r="E45">
            <v>0.28000000000000003</v>
          </cell>
          <cell r="F45">
            <v>100</v>
          </cell>
          <cell r="G45">
            <v>0</v>
          </cell>
        </row>
        <row r="46">
          <cell r="A46">
            <v>43</v>
          </cell>
          <cell r="B46" t="str">
            <v>ACEROPAXI PLATINAS</v>
          </cell>
          <cell r="C46" t="str">
            <v>Platinas Pt12x 4</v>
          </cell>
          <cell r="D46">
            <v>0.38</v>
          </cell>
          <cell r="E46">
            <v>0.38</v>
          </cell>
          <cell r="F46">
            <v>42</v>
          </cell>
          <cell r="G46">
            <v>0</v>
          </cell>
        </row>
        <row r="47">
          <cell r="A47">
            <v>44</v>
          </cell>
          <cell r="B47" t="str">
            <v>ACEROPAXI PLATINAS</v>
          </cell>
          <cell r="C47" t="str">
            <v>Platinas Pt12x 6</v>
          </cell>
          <cell r="D47">
            <v>0.56999999999999995</v>
          </cell>
          <cell r="E47">
            <v>0.56999999999999995</v>
          </cell>
          <cell r="F47">
            <v>50</v>
          </cell>
          <cell r="G47">
            <v>0</v>
          </cell>
        </row>
        <row r="48">
          <cell r="A48">
            <v>45</v>
          </cell>
          <cell r="B48" t="str">
            <v>ACEROPAXI PLATINAS</v>
          </cell>
          <cell r="C48" t="str">
            <v>Platinas Pt19x 3</v>
          </cell>
          <cell r="D48">
            <v>0.45</v>
          </cell>
          <cell r="E48">
            <v>0.45</v>
          </cell>
          <cell r="F48">
            <v>58</v>
          </cell>
          <cell r="G48">
            <v>0</v>
          </cell>
        </row>
        <row r="49">
          <cell r="A49">
            <v>46</v>
          </cell>
          <cell r="B49" t="str">
            <v>ACEROPAXI PLATINAS</v>
          </cell>
          <cell r="C49" t="str">
            <v>Platinas Pt19x 4</v>
          </cell>
          <cell r="D49">
            <v>0.6</v>
          </cell>
          <cell r="E49">
            <v>0.6</v>
          </cell>
          <cell r="F49">
            <v>66</v>
          </cell>
          <cell r="G49">
            <v>0</v>
          </cell>
        </row>
        <row r="50">
          <cell r="A50">
            <v>47</v>
          </cell>
          <cell r="B50" t="str">
            <v>ACEROPAXI PLATINAS</v>
          </cell>
          <cell r="C50" t="str">
            <v>Platinas Pt19x 6</v>
          </cell>
          <cell r="D50">
            <v>0.89</v>
          </cell>
          <cell r="E50">
            <v>0.89</v>
          </cell>
          <cell r="F50">
            <v>74</v>
          </cell>
          <cell r="G50">
            <v>0</v>
          </cell>
        </row>
        <row r="51">
          <cell r="A51">
            <v>48</v>
          </cell>
          <cell r="B51" t="str">
            <v>ACEROPAXI PLATINAS</v>
          </cell>
          <cell r="C51" t="str">
            <v>Platinas Pt25x 3</v>
          </cell>
          <cell r="D51">
            <v>0.59</v>
          </cell>
          <cell r="E51">
            <v>0.59</v>
          </cell>
          <cell r="F51">
            <v>82</v>
          </cell>
          <cell r="G51">
            <v>0</v>
          </cell>
        </row>
        <row r="52">
          <cell r="A52">
            <v>49</v>
          </cell>
          <cell r="B52" t="str">
            <v>ACEROPAXI PLATINAS</v>
          </cell>
          <cell r="C52" t="str">
            <v>Platinas Pt25x 4</v>
          </cell>
          <cell r="D52">
            <v>0.79</v>
          </cell>
          <cell r="E52">
            <v>0.79</v>
          </cell>
          <cell r="F52">
            <v>90</v>
          </cell>
          <cell r="G52">
            <v>0</v>
          </cell>
        </row>
        <row r="53">
          <cell r="A53">
            <v>50</v>
          </cell>
          <cell r="B53" t="str">
            <v>ACEROPAXI PLATINAS</v>
          </cell>
          <cell r="C53" t="str">
            <v>Platinas Pt25x 6</v>
          </cell>
          <cell r="D53">
            <v>1.18</v>
          </cell>
          <cell r="E53">
            <v>1.18</v>
          </cell>
          <cell r="F53">
            <v>98</v>
          </cell>
          <cell r="G53">
            <v>0</v>
          </cell>
        </row>
        <row r="54">
          <cell r="A54">
            <v>51</v>
          </cell>
          <cell r="B54" t="str">
            <v>ACEROPAXI PLATINAS</v>
          </cell>
          <cell r="C54" t="str">
            <v>Platinas Pt30x 3</v>
          </cell>
          <cell r="D54">
            <v>0.71</v>
          </cell>
          <cell r="E54">
            <v>0.71</v>
          </cell>
          <cell r="F54">
            <v>106</v>
          </cell>
          <cell r="G54">
            <v>0</v>
          </cell>
        </row>
        <row r="55">
          <cell r="A55">
            <v>52</v>
          </cell>
          <cell r="B55" t="str">
            <v>ACEROPAXI PLATINAS</v>
          </cell>
          <cell r="C55" t="str">
            <v>Platinas Pt30x 4</v>
          </cell>
          <cell r="D55">
            <v>0.94</v>
          </cell>
          <cell r="E55">
            <v>0.94</v>
          </cell>
          <cell r="F55">
            <v>113</v>
          </cell>
          <cell r="G55">
            <v>0</v>
          </cell>
        </row>
        <row r="56">
          <cell r="A56">
            <v>53</v>
          </cell>
          <cell r="B56" t="str">
            <v>ACEROPAXI PLATINAS</v>
          </cell>
          <cell r="C56" t="str">
            <v>Platinas Pt30x 6</v>
          </cell>
          <cell r="D56">
            <v>1.41</v>
          </cell>
          <cell r="E56">
            <v>1.41</v>
          </cell>
          <cell r="F56">
            <v>119</v>
          </cell>
          <cell r="G56">
            <v>0</v>
          </cell>
        </row>
        <row r="57">
          <cell r="A57">
            <v>54</v>
          </cell>
          <cell r="B57" t="str">
            <v>ACEROPAXI PLATINAS</v>
          </cell>
          <cell r="C57" t="str">
            <v>Platinas Pt30x 9</v>
          </cell>
          <cell r="D57">
            <v>2.12</v>
          </cell>
          <cell r="E57">
            <v>2.12</v>
          </cell>
          <cell r="F57">
            <v>125</v>
          </cell>
          <cell r="G57">
            <v>0</v>
          </cell>
        </row>
        <row r="58">
          <cell r="A58">
            <v>55</v>
          </cell>
          <cell r="B58" t="str">
            <v>ACEROPAXI PLATINAS</v>
          </cell>
          <cell r="C58" t="str">
            <v>Platinas Pt30x 12</v>
          </cell>
          <cell r="D58">
            <v>2.83</v>
          </cell>
          <cell r="E58">
            <v>2.83</v>
          </cell>
          <cell r="F58">
            <v>131</v>
          </cell>
          <cell r="G58">
            <v>0</v>
          </cell>
        </row>
        <row r="59">
          <cell r="A59">
            <v>56</v>
          </cell>
          <cell r="B59" t="str">
            <v>ACEROPAXI PLATINAS</v>
          </cell>
          <cell r="C59" t="str">
            <v>Platinas Pt38x 3</v>
          </cell>
          <cell r="D59">
            <v>0.89</v>
          </cell>
          <cell r="E59">
            <v>0.89</v>
          </cell>
          <cell r="F59">
            <v>137</v>
          </cell>
          <cell r="G59">
            <v>0</v>
          </cell>
        </row>
        <row r="60">
          <cell r="A60">
            <v>57</v>
          </cell>
          <cell r="B60" t="str">
            <v>ACEROPAXI PLATINAS</v>
          </cell>
          <cell r="C60" t="str">
            <v>Platinas Pt38x 4</v>
          </cell>
          <cell r="D60">
            <v>1.19</v>
          </cell>
          <cell r="E60">
            <v>1.19</v>
          </cell>
          <cell r="F60">
            <v>143</v>
          </cell>
          <cell r="G60">
            <v>0</v>
          </cell>
        </row>
        <row r="61">
          <cell r="A61">
            <v>58</v>
          </cell>
          <cell r="B61" t="str">
            <v>ACEROPAXI PLATINAS</v>
          </cell>
          <cell r="C61" t="str">
            <v>Platinas Pt38x 6</v>
          </cell>
          <cell r="D61">
            <v>1.79</v>
          </cell>
          <cell r="E61">
            <v>1.79</v>
          </cell>
          <cell r="F61">
            <v>149</v>
          </cell>
          <cell r="G61">
            <v>0</v>
          </cell>
        </row>
        <row r="62">
          <cell r="A62">
            <v>59</v>
          </cell>
          <cell r="B62" t="str">
            <v>ACEROPAXI PLATINAS</v>
          </cell>
          <cell r="C62" t="str">
            <v>Platinas Pt38x 9</v>
          </cell>
          <cell r="D62">
            <v>2.69</v>
          </cell>
          <cell r="E62">
            <v>2.69</v>
          </cell>
          <cell r="F62">
            <v>155</v>
          </cell>
          <cell r="G62">
            <v>0</v>
          </cell>
        </row>
        <row r="63">
          <cell r="A63">
            <v>60</v>
          </cell>
          <cell r="B63" t="str">
            <v>ACEROPAXI PLATINAS</v>
          </cell>
          <cell r="C63" t="str">
            <v>Platinas Pt38x 12</v>
          </cell>
          <cell r="D63">
            <v>3.58</v>
          </cell>
          <cell r="E63">
            <v>3.58</v>
          </cell>
          <cell r="F63">
            <v>170</v>
          </cell>
          <cell r="G63">
            <v>0</v>
          </cell>
        </row>
        <row r="64">
          <cell r="A64">
            <v>61</v>
          </cell>
          <cell r="B64" t="str">
            <v>ACEROPAXI PLATINAS</v>
          </cell>
          <cell r="C64" t="str">
            <v>Platinas Pt50x 3</v>
          </cell>
          <cell r="D64">
            <v>1.18</v>
          </cell>
          <cell r="E64">
            <v>1.18</v>
          </cell>
          <cell r="F64">
            <v>185</v>
          </cell>
          <cell r="G64">
            <v>0</v>
          </cell>
        </row>
        <row r="65">
          <cell r="A65">
            <v>62</v>
          </cell>
          <cell r="B65" t="str">
            <v>ACEROPAXI PLATINAS</v>
          </cell>
          <cell r="C65" t="str">
            <v>Platinas Pt50x 4</v>
          </cell>
          <cell r="D65">
            <v>1.58</v>
          </cell>
          <cell r="E65">
            <v>1.58</v>
          </cell>
          <cell r="F65">
            <v>200</v>
          </cell>
          <cell r="G65">
            <v>0</v>
          </cell>
        </row>
        <row r="66">
          <cell r="A66">
            <v>63</v>
          </cell>
          <cell r="B66" t="str">
            <v>ACEROPAXI PLATINAS</v>
          </cell>
          <cell r="C66" t="str">
            <v>Platinas Pt50x 6</v>
          </cell>
          <cell r="D66">
            <v>2.2599999999999998</v>
          </cell>
          <cell r="E66">
            <v>2.2599999999999998</v>
          </cell>
          <cell r="F66">
            <v>215</v>
          </cell>
          <cell r="G66">
            <v>0</v>
          </cell>
        </row>
        <row r="67">
          <cell r="A67">
            <v>64</v>
          </cell>
          <cell r="B67" t="str">
            <v>ACEROPAXI PLATINAS</v>
          </cell>
          <cell r="C67" t="str">
            <v>Platinas Pt50x 9</v>
          </cell>
          <cell r="D67">
            <v>3.53</v>
          </cell>
          <cell r="E67">
            <v>3.53</v>
          </cell>
          <cell r="F67">
            <v>46</v>
          </cell>
          <cell r="G67">
            <v>0</v>
          </cell>
        </row>
        <row r="68">
          <cell r="A68">
            <v>65</v>
          </cell>
          <cell r="B68" t="str">
            <v>ACEROPAXI PLATINAS</v>
          </cell>
          <cell r="C68" t="str">
            <v>Platinas Pt50x 12</v>
          </cell>
          <cell r="D68">
            <v>4.71</v>
          </cell>
          <cell r="E68">
            <v>4.71</v>
          </cell>
          <cell r="F68">
            <v>55</v>
          </cell>
          <cell r="G68">
            <v>0</v>
          </cell>
        </row>
        <row r="69">
          <cell r="A69">
            <v>66</v>
          </cell>
          <cell r="B69" t="str">
            <v>ACEROPAXI PLATINAS</v>
          </cell>
          <cell r="C69" t="str">
            <v>Platinas Pt65x 6</v>
          </cell>
          <cell r="D69">
            <v>3.06</v>
          </cell>
          <cell r="E69">
            <v>3.06</v>
          </cell>
          <cell r="F69">
            <v>64</v>
          </cell>
          <cell r="G69">
            <v>0</v>
          </cell>
        </row>
        <row r="70">
          <cell r="A70">
            <v>67</v>
          </cell>
          <cell r="B70" t="str">
            <v>ACEROPAXI PLATINAS</v>
          </cell>
          <cell r="C70" t="str">
            <v>Platinas Pt65x 9</v>
          </cell>
          <cell r="D70">
            <v>4.59</v>
          </cell>
          <cell r="E70">
            <v>4.59</v>
          </cell>
          <cell r="F70">
            <v>73</v>
          </cell>
          <cell r="G70">
            <v>0</v>
          </cell>
        </row>
        <row r="71">
          <cell r="A71">
            <v>68</v>
          </cell>
          <cell r="B71" t="str">
            <v>ACEROPAXI PLATINAS</v>
          </cell>
          <cell r="C71" t="str">
            <v>Platinas Pt65x 12</v>
          </cell>
          <cell r="D71">
            <v>6.12</v>
          </cell>
          <cell r="E71">
            <v>6.12</v>
          </cell>
          <cell r="F71">
            <v>82</v>
          </cell>
          <cell r="G71">
            <v>0</v>
          </cell>
        </row>
        <row r="72">
          <cell r="A72">
            <v>69</v>
          </cell>
          <cell r="B72" t="str">
            <v>ACEROPAXI PLATINAS</v>
          </cell>
          <cell r="C72" t="str">
            <v>Platinas Pt75x 6</v>
          </cell>
          <cell r="D72">
            <v>3.53</v>
          </cell>
          <cell r="E72">
            <v>3.53</v>
          </cell>
          <cell r="F72">
            <v>91</v>
          </cell>
          <cell r="G72">
            <v>0</v>
          </cell>
        </row>
        <row r="73">
          <cell r="A73">
            <v>70</v>
          </cell>
          <cell r="B73" t="str">
            <v>ACEROPAXI PLATINAS</v>
          </cell>
          <cell r="C73" t="str">
            <v>Platinas Pt75x 9</v>
          </cell>
          <cell r="D73">
            <v>5.3</v>
          </cell>
          <cell r="E73">
            <v>5.3</v>
          </cell>
          <cell r="F73">
            <v>100</v>
          </cell>
          <cell r="G73">
            <v>0</v>
          </cell>
        </row>
        <row r="74">
          <cell r="A74">
            <v>71</v>
          </cell>
          <cell r="B74" t="str">
            <v>ACEROPAXI PLATINAS</v>
          </cell>
          <cell r="C74" t="str">
            <v>Platinas Pt75x 12</v>
          </cell>
          <cell r="D74">
            <v>7.07</v>
          </cell>
          <cell r="E74">
            <v>7.07</v>
          </cell>
          <cell r="F74">
            <v>110</v>
          </cell>
          <cell r="G74">
            <v>0</v>
          </cell>
        </row>
        <row r="75">
          <cell r="A75">
            <v>72</v>
          </cell>
          <cell r="B75" t="str">
            <v>ACEROPAXI PLATINAS</v>
          </cell>
          <cell r="C75" t="str">
            <v>Platinas Pt 100x 6</v>
          </cell>
          <cell r="D75">
            <v>4.71</v>
          </cell>
          <cell r="E75">
            <v>4.71</v>
          </cell>
          <cell r="F75">
            <v>120</v>
          </cell>
          <cell r="G75">
            <v>0</v>
          </cell>
        </row>
        <row r="76">
          <cell r="A76">
            <v>73</v>
          </cell>
          <cell r="B76" t="str">
            <v>ACEROPAXI PLATINAS</v>
          </cell>
          <cell r="C76" t="str">
            <v>Platinas Pt100x 9</v>
          </cell>
          <cell r="D76">
            <v>7.07</v>
          </cell>
          <cell r="E76">
            <v>7.07</v>
          </cell>
          <cell r="F76">
            <v>135</v>
          </cell>
          <cell r="G76">
            <v>0</v>
          </cell>
        </row>
        <row r="77">
          <cell r="A77">
            <v>74</v>
          </cell>
          <cell r="B77" t="str">
            <v>ACEROPAXI PLATINAS</v>
          </cell>
          <cell r="C77" t="str">
            <v>Platinas Pt100x 12</v>
          </cell>
          <cell r="D77">
            <v>9.42</v>
          </cell>
          <cell r="E77">
            <v>9.42</v>
          </cell>
          <cell r="F77">
            <v>150</v>
          </cell>
          <cell r="G77">
            <v>0</v>
          </cell>
        </row>
        <row r="78">
          <cell r="A78">
            <v>75</v>
          </cell>
          <cell r="B78" t="str">
            <v>ACEROPAXI TEE</v>
          </cell>
          <cell r="C78" t="str">
            <v>Tee 20 x 20 x 3</v>
          </cell>
          <cell r="D78">
            <v>0.9</v>
          </cell>
          <cell r="E78">
            <v>0.9</v>
          </cell>
          <cell r="F78">
            <v>160</v>
          </cell>
          <cell r="G78">
            <v>0</v>
          </cell>
        </row>
        <row r="79">
          <cell r="A79">
            <v>76</v>
          </cell>
          <cell r="B79" t="str">
            <v>ACEROPAXI TEE</v>
          </cell>
          <cell r="C79" t="str">
            <v>Tee 25 x 25 x 3</v>
          </cell>
          <cell r="D79">
            <v>1.19</v>
          </cell>
          <cell r="E79">
            <v>1.19</v>
          </cell>
          <cell r="F79">
            <v>170</v>
          </cell>
          <cell r="G79">
            <v>0</v>
          </cell>
        </row>
        <row r="80">
          <cell r="A80">
            <v>77</v>
          </cell>
          <cell r="B80" t="str">
            <v>ACEROPAXI TEE</v>
          </cell>
          <cell r="C80" t="str">
            <v>Tee 30 x 30 x 3</v>
          </cell>
          <cell r="D80">
            <v>1.41</v>
          </cell>
          <cell r="E80">
            <v>1.41</v>
          </cell>
          <cell r="F80">
            <v>180</v>
          </cell>
          <cell r="G80">
            <v>0</v>
          </cell>
        </row>
        <row r="81">
          <cell r="A81">
            <v>78</v>
          </cell>
          <cell r="B81" t="str">
            <v>ACEROPAXI TUBERIA ASTM A 53</v>
          </cell>
          <cell r="C81" t="str">
            <v>Tubo ASTM A 53 1 1/2" CED 40</v>
          </cell>
          <cell r="D81">
            <v>4.05</v>
          </cell>
          <cell r="E81">
            <v>4.05</v>
          </cell>
          <cell r="F81">
            <v>190</v>
          </cell>
          <cell r="G81">
            <v>0</v>
          </cell>
        </row>
        <row r="82">
          <cell r="A82">
            <v>79</v>
          </cell>
          <cell r="B82" t="str">
            <v>ACEROPAXI TUBERIA ASTM A 53</v>
          </cell>
          <cell r="C82" t="str">
            <v>Tubo ASTM A 53 1 1/2" CED 80</v>
          </cell>
          <cell r="D82">
            <v>5.41</v>
          </cell>
          <cell r="E82">
            <v>5.41</v>
          </cell>
          <cell r="F82">
            <v>200</v>
          </cell>
          <cell r="G82">
            <v>0</v>
          </cell>
        </row>
        <row r="83">
          <cell r="A83">
            <v>80</v>
          </cell>
          <cell r="B83" t="str">
            <v>ACEROPAXI TUBERIA ASTM A 53</v>
          </cell>
          <cell r="C83" t="str">
            <v>Tubo ASTM A 53 2" CED 40</v>
          </cell>
          <cell r="D83">
            <v>5.44</v>
          </cell>
          <cell r="E83">
            <v>5.44</v>
          </cell>
          <cell r="F83">
            <v>210</v>
          </cell>
          <cell r="G83">
            <v>0</v>
          </cell>
        </row>
        <row r="84">
          <cell r="A84">
            <v>81</v>
          </cell>
          <cell r="B84" t="str">
            <v>ACEROPAXI TUBERIA ASTM A 53</v>
          </cell>
          <cell r="C84" t="str">
            <v>Tubo ASTM A 53 2" CED 80</v>
          </cell>
          <cell r="D84">
            <v>7.48</v>
          </cell>
          <cell r="E84">
            <v>7.48</v>
          </cell>
          <cell r="F84">
            <v>25</v>
          </cell>
          <cell r="G84">
            <v>0</v>
          </cell>
        </row>
        <row r="85">
          <cell r="A85">
            <v>82</v>
          </cell>
          <cell r="B85" t="str">
            <v>ACEROPAXI TUBERIA ASTM A 53</v>
          </cell>
          <cell r="C85" t="str">
            <v>Tubo ASTM A 53 2 1/2" CED 40</v>
          </cell>
          <cell r="D85">
            <v>8.6300000000000008</v>
          </cell>
          <cell r="E85">
            <v>8.6300000000000008</v>
          </cell>
          <cell r="F85">
            <v>25</v>
          </cell>
          <cell r="G85">
            <v>0</v>
          </cell>
        </row>
        <row r="86">
          <cell r="A86">
            <v>83</v>
          </cell>
          <cell r="B86" t="str">
            <v>ACEROPAXI TUBERIA ESTRUCTURAL CUADRADO</v>
          </cell>
          <cell r="C86" t="str">
            <v>Tubo Cuadrado 20x 1,50</v>
          </cell>
          <cell r="D86">
            <v>0.88</v>
          </cell>
          <cell r="E86">
            <v>0.88</v>
          </cell>
          <cell r="F86">
            <v>25</v>
          </cell>
          <cell r="G86">
            <v>0</v>
          </cell>
        </row>
        <row r="87">
          <cell r="A87">
            <v>84</v>
          </cell>
          <cell r="B87" t="str">
            <v>ACEROPAXI TUBERIA ESTRUCTURAL CUADRADO</v>
          </cell>
          <cell r="C87" t="str">
            <v>Tubo Cuadrado 25x 1,50</v>
          </cell>
          <cell r="D87">
            <v>1.18</v>
          </cell>
          <cell r="E87">
            <v>1.18</v>
          </cell>
          <cell r="F87">
            <v>25</v>
          </cell>
          <cell r="G87">
            <v>0</v>
          </cell>
        </row>
        <row r="88">
          <cell r="A88">
            <v>85</v>
          </cell>
          <cell r="B88" t="str">
            <v>ACEROPAXI TUBERIA ESTRUCTURAL CUADRADO</v>
          </cell>
          <cell r="C88" t="str">
            <v>Tubo Cuadrado 25x 2,0</v>
          </cell>
          <cell r="D88">
            <v>1.55</v>
          </cell>
          <cell r="E88">
            <v>1.55</v>
          </cell>
          <cell r="F88">
            <v>30</v>
          </cell>
          <cell r="G88">
            <v>0</v>
          </cell>
        </row>
        <row r="89">
          <cell r="A89">
            <v>86</v>
          </cell>
          <cell r="B89" t="str">
            <v>ACEROPAXI TUBERIA ESTRUCTURAL CUADRADO</v>
          </cell>
          <cell r="C89" t="str">
            <v>Tubo Cuadrado 30x 1,50</v>
          </cell>
          <cell r="D89">
            <v>1.35</v>
          </cell>
          <cell r="E89">
            <v>1.35</v>
          </cell>
          <cell r="F89">
            <v>30</v>
          </cell>
          <cell r="G89">
            <v>0</v>
          </cell>
        </row>
        <row r="90">
          <cell r="A90">
            <v>87</v>
          </cell>
          <cell r="B90" t="str">
            <v>ACEROPAXI TUBERIA ESTRUCTURAL CUADRADO</v>
          </cell>
          <cell r="C90" t="str">
            <v>Tubo Cuadrado 30x 2,0</v>
          </cell>
          <cell r="D90">
            <v>1.77</v>
          </cell>
          <cell r="E90">
            <v>1.77</v>
          </cell>
          <cell r="F90">
            <v>30</v>
          </cell>
          <cell r="G90">
            <v>0</v>
          </cell>
        </row>
        <row r="91">
          <cell r="A91">
            <v>88</v>
          </cell>
          <cell r="B91" t="str">
            <v>ACEROPAXI TUBERIA ESTRUCTURAL CUADRADO</v>
          </cell>
          <cell r="C91" t="str">
            <v>Tubo Cuadrado 40x 1,50</v>
          </cell>
          <cell r="D91">
            <v>1.76</v>
          </cell>
          <cell r="E91">
            <v>1.76</v>
          </cell>
          <cell r="F91">
            <v>40</v>
          </cell>
          <cell r="G91">
            <v>0</v>
          </cell>
        </row>
        <row r="92">
          <cell r="A92">
            <v>89</v>
          </cell>
          <cell r="B92" t="str">
            <v>ACEROPAXI TUBERIA ESTRUCTURAL CUADRADO</v>
          </cell>
          <cell r="C92" t="str">
            <v>Tubo Cuadrado 40x 2,0</v>
          </cell>
          <cell r="D92">
            <v>2.3199999999999998</v>
          </cell>
          <cell r="E92">
            <v>2.3199999999999998</v>
          </cell>
          <cell r="F92">
            <v>40</v>
          </cell>
          <cell r="G92">
            <v>0</v>
          </cell>
        </row>
        <row r="93">
          <cell r="A93">
            <v>90</v>
          </cell>
          <cell r="B93" t="str">
            <v>ACEROPAXI TUBERIA ESTRUCTURAL CUADRADO</v>
          </cell>
          <cell r="C93" t="str">
            <v>Tubo Cuadrado 40x 3,0</v>
          </cell>
          <cell r="D93">
            <v>3.42</v>
          </cell>
          <cell r="E93">
            <v>3.42</v>
          </cell>
          <cell r="F93">
            <v>40</v>
          </cell>
          <cell r="G93">
            <v>0</v>
          </cell>
        </row>
        <row r="94">
          <cell r="A94">
            <v>91</v>
          </cell>
          <cell r="B94" t="str">
            <v>ACEROPAXI TUBERIA ESTRUCTURAL CUADRADO</v>
          </cell>
          <cell r="C94" t="str">
            <v>Tubo Cuadrado 50x 1,50</v>
          </cell>
          <cell r="D94">
            <v>2.35</v>
          </cell>
          <cell r="E94">
            <v>2.35</v>
          </cell>
          <cell r="F94">
            <v>40</v>
          </cell>
          <cell r="G94">
            <v>0</v>
          </cell>
        </row>
        <row r="95">
          <cell r="A95">
            <v>92</v>
          </cell>
          <cell r="B95" t="str">
            <v>ACEROPAXI TUBERIA ESTRUCTURAL CUADRADO</v>
          </cell>
          <cell r="C95" t="str">
            <v>Tubo Cuadrado 50x 2,0</v>
          </cell>
          <cell r="D95">
            <v>3.11</v>
          </cell>
          <cell r="E95">
            <v>3.11</v>
          </cell>
          <cell r="F95">
            <v>40</v>
          </cell>
          <cell r="G95">
            <v>0</v>
          </cell>
        </row>
        <row r="96">
          <cell r="A96">
            <v>93</v>
          </cell>
          <cell r="B96" t="str">
            <v>ACEROPAXI TUBERIA ESTRUCTURAL CUADRADO</v>
          </cell>
          <cell r="C96" t="str">
            <v>Tubo Cuadrado 50x 3,0</v>
          </cell>
          <cell r="D96">
            <v>4.59</v>
          </cell>
          <cell r="E96">
            <v>4.59</v>
          </cell>
          <cell r="F96">
            <v>50</v>
          </cell>
          <cell r="G96">
            <v>0</v>
          </cell>
        </row>
        <row r="97">
          <cell r="A97">
            <v>94</v>
          </cell>
          <cell r="B97" t="str">
            <v>ACEROPAXI TUBERIA ESTRUCTURAL CUADRADO</v>
          </cell>
          <cell r="C97" t="str">
            <v>Tubo Cuadrado 60x 2,0</v>
          </cell>
          <cell r="D97">
            <v>3.74</v>
          </cell>
          <cell r="E97">
            <v>3.74</v>
          </cell>
          <cell r="F97">
            <v>50</v>
          </cell>
          <cell r="G97">
            <v>0</v>
          </cell>
        </row>
        <row r="98">
          <cell r="A98">
            <v>95</v>
          </cell>
          <cell r="B98" t="str">
            <v>ACEROPAXI TUBERIA ESTRUCTURAL CUADRADO</v>
          </cell>
          <cell r="C98" t="str">
            <v>Tubo Cuadrado 60x 3,0</v>
          </cell>
          <cell r="D98">
            <v>5.56</v>
          </cell>
          <cell r="E98">
            <v>5.56</v>
          </cell>
          <cell r="F98">
            <v>50</v>
          </cell>
          <cell r="G98">
            <v>0</v>
          </cell>
        </row>
        <row r="99">
          <cell r="A99">
            <v>96</v>
          </cell>
          <cell r="B99" t="str">
            <v>ACEROPAXI TUBERIA ESTRUCTURAL CUADRADO</v>
          </cell>
          <cell r="C99" t="str">
            <v>Tubo Cuadrado 75x 2,0</v>
          </cell>
          <cell r="D99">
            <v>4.55</v>
          </cell>
          <cell r="E99">
            <v>4.55</v>
          </cell>
          <cell r="F99">
            <v>50</v>
          </cell>
          <cell r="G99">
            <v>0</v>
          </cell>
        </row>
        <row r="100">
          <cell r="A100">
            <v>97</v>
          </cell>
          <cell r="B100" t="str">
            <v>ACEROPAXI TUBERIA ESTRUCTURAL CUADRADO</v>
          </cell>
          <cell r="C100" t="str">
            <v>Tubo Cuadrado 75x 3,0</v>
          </cell>
          <cell r="D100">
            <v>6.88</v>
          </cell>
          <cell r="E100">
            <v>6.88</v>
          </cell>
          <cell r="F100">
            <v>50</v>
          </cell>
          <cell r="G100">
            <v>0</v>
          </cell>
        </row>
        <row r="101">
          <cell r="A101">
            <v>98</v>
          </cell>
          <cell r="B101" t="str">
            <v>ACEROPAXI TUBERIA ESTRUCTURAL CUADRADO</v>
          </cell>
          <cell r="C101" t="str">
            <v>Tubo Cuadrado 75x 4,0</v>
          </cell>
          <cell r="D101">
            <v>9.11</v>
          </cell>
          <cell r="E101">
            <v>9.11</v>
          </cell>
          <cell r="F101">
            <v>50</v>
          </cell>
          <cell r="G101">
            <v>0</v>
          </cell>
        </row>
        <row r="102">
          <cell r="A102">
            <v>99</v>
          </cell>
          <cell r="B102" t="str">
            <v>ACEROPAXI TUBERIA ESTRUCTURAL CUADRADO</v>
          </cell>
          <cell r="C102" t="str">
            <v>Tubo Cuadrado 100x 2,0</v>
          </cell>
          <cell r="D102">
            <v>6.22</v>
          </cell>
          <cell r="E102">
            <v>6.22</v>
          </cell>
          <cell r="F102">
            <v>50</v>
          </cell>
          <cell r="G102">
            <v>0</v>
          </cell>
        </row>
        <row r="103">
          <cell r="A103">
            <v>100</v>
          </cell>
          <cell r="B103" t="str">
            <v>ACEROPAXI TUBERIA ESTRUCTURAL CUADRADO</v>
          </cell>
          <cell r="C103" t="str">
            <v>Tubo Cuadrado 100x 3,0</v>
          </cell>
          <cell r="D103">
            <v>9.26</v>
          </cell>
          <cell r="E103">
            <v>9.26</v>
          </cell>
          <cell r="F103">
            <v>50</v>
          </cell>
          <cell r="G103">
            <v>0</v>
          </cell>
        </row>
        <row r="104">
          <cell r="A104">
            <v>101</v>
          </cell>
          <cell r="B104" t="str">
            <v>ACEROPAXI TUBERIA ESTRUCTURAL CUADRADO</v>
          </cell>
          <cell r="C104" t="str">
            <v>Tubo Cuadrado 100x 4,0</v>
          </cell>
          <cell r="D104">
            <v>12.28</v>
          </cell>
          <cell r="E104">
            <v>12.28</v>
          </cell>
          <cell r="F104">
            <v>50</v>
          </cell>
          <cell r="G104">
            <v>0</v>
          </cell>
        </row>
        <row r="105">
          <cell r="A105">
            <v>102</v>
          </cell>
          <cell r="B105" t="str">
            <v>ACEROPAXI TUBERIA ESTRUCTURAL POSTE</v>
          </cell>
          <cell r="C105" t="str">
            <v>Tubo Poste Galvanizado 1" x 1,8</v>
          </cell>
          <cell r="D105">
            <v>1.07</v>
          </cell>
          <cell r="E105">
            <v>1.07</v>
          </cell>
          <cell r="F105">
            <v>50</v>
          </cell>
          <cell r="G105">
            <v>0</v>
          </cell>
        </row>
        <row r="106">
          <cell r="A106">
            <v>103</v>
          </cell>
          <cell r="B106" t="str">
            <v>ACEROPAXI TUBERIA ESTRUCTURAL POSTE</v>
          </cell>
          <cell r="C106" t="str">
            <v>Tubo Poste Galvanizado 1" x 2,0</v>
          </cell>
          <cell r="D106">
            <v>1.1599999999999999</v>
          </cell>
          <cell r="E106">
            <v>1.1599999999999999</v>
          </cell>
          <cell r="F106">
            <v>50</v>
          </cell>
          <cell r="G106">
            <v>0</v>
          </cell>
        </row>
        <row r="107">
          <cell r="A107">
            <v>104</v>
          </cell>
          <cell r="B107" t="str">
            <v>ACEROPAXI TUBERIA ESTRUCTURAL POSTE</v>
          </cell>
          <cell r="C107" t="str">
            <v>Tubo Poste Galvanizado 1 1/4" x 1,8</v>
          </cell>
          <cell r="D107">
            <v>1.36</v>
          </cell>
          <cell r="E107">
            <v>1.36</v>
          </cell>
          <cell r="F107">
            <v>50</v>
          </cell>
          <cell r="G107">
            <v>0</v>
          </cell>
        </row>
        <row r="108">
          <cell r="A108">
            <v>105</v>
          </cell>
          <cell r="B108" t="str">
            <v>ACEROPAXI TUBERIA ESTRUCTURAL POSTE</v>
          </cell>
          <cell r="C108" t="str">
            <v>Tubo Poste Galvanizado 1 1/4" x 2,0</v>
          </cell>
          <cell r="D108">
            <v>1.49</v>
          </cell>
          <cell r="E108">
            <v>1.49</v>
          </cell>
          <cell r="F108">
            <v>50</v>
          </cell>
          <cell r="G108">
            <v>0</v>
          </cell>
        </row>
        <row r="109">
          <cell r="A109">
            <v>106</v>
          </cell>
          <cell r="B109" t="str">
            <v>ACEROPAXI TUBERIA ESTRUCTURAL POSTE</v>
          </cell>
          <cell r="C109" t="str">
            <v>Tubo Poste Galvanizado 1 1/2" x 1,8</v>
          </cell>
          <cell r="D109">
            <v>1.65</v>
          </cell>
          <cell r="E109">
            <v>1.65</v>
          </cell>
          <cell r="F109">
            <v>50</v>
          </cell>
          <cell r="G109">
            <v>0</v>
          </cell>
        </row>
        <row r="110">
          <cell r="A110">
            <v>107</v>
          </cell>
          <cell r="B110" t="str">
            <v>ACEROPAXI TUBERIA ESTRUCTURAL POSTE</v>
          </cell>
          <cell r="C110" t="str">
            <v>Tubo Poste Galvanizado 1 1/2" x 2,0</v>
          </cell>
          <cell r="D110">
            <v>1.8</v>
          </cell>
          <cell r="E110">
            <v>1.8</v>
          </cell>
          <cell r="F110">
            <v>50</v>
          </cell>
          <cell r="G110">
            <v>0</v>
          </cell>
        </row>
        <row r="111">
          <cell r="A111">
            <v>108</v>
          </cell>
          <cell r="B111" t="str">
            <v>ACEROPAXI TUBERIA ESTRUCTURAL POSTE</v>
          </cell>
          <cell r="C111" t="str">
            <v>Tubo Poste Galvanizado 1 3/4" x 1,8</v>
          </cell>
          <cell r="D111">
            <v>1.84</v>
          </cell>
          <cell r="E111">
            <v>1.84</v>
          </cell>
          <cell r="F111">
            <v>65</v>
          </cell>
          <cell r="G111">
            <v>0</v>
          </cell>
        </row>
        <row r="112">
          <cell r="A112">
            <v>109</v>
          </cell>
          <cell r="B112" t="str">
            <v>ACEROPAXI TUBERIA ESTRUCTURAL POSTE</v>
          </cell>
          <cell r="C112" t="str">
            <v>Tubo Poste Galvanizado 1 3/4" x 2,0</v>
          </cell>
          <cell r="D112">
            <v>2.04</v>
          </cell>
          <cell r="E112">
            <v>2.04</v>
          </cell>
          <cell r="F112">
            <v>50</v>
          </cell>
          <cell r="G112">
            <v>0</v>
          </cell>
        </row>
        <row r="113">
          <cell r="A113">
            <v>110</v>
          </cell>
          <cell r="B113" t="str">
            <v>ACEROPAXI TUBERIA ESTRUCTURAL POSTE</v>
          </cell>
          <cell r="C113" t="str">
            <v>Tubo Poste Galvanizado 2" x 1,8</v>
          </cell>
          <cell r="D113">
            <v>2.2200000000000002</v>
          </cell>
          <cell r="E113">
            <v>2.2200000000000002</v>
          </cell>
          <cell r="F113">
            <v>50</v>
          </cell>
          <cell r="G113">
            <v>0</v>
          </cell>
        </row>
        <row r="114">
          <cell r="A114">
            <v>111</v>
          </cell>
          <cell r="B114" t="str">
            <v>ACEROPAXI TUBERIA ESTRUCTURAL POSTE</v>
          </cell>
          <cell r="C114" t="str">
            <v>Tubo Poste Galvanizado 2" x 2,0</v>
          </cell>
          <cell r="D114">
            <v>2.42</v>
          </cell>
          <cell r="E114">
            <v>2.42</v>
          </cell>
          <cell r="F114">
            <v>50</v>
          </cell>
          <cell r="G114">
            <v>0</v>
          </cell>
        </row>
        <row r="115">
          <cell r="A115">
            <v>112</v>
          </cell>
          <cell r="B115" t="str">
            <v>ACEROPAXI TUBERIA ESTRUCTURAL POSTE</v>
          </cell>
          <cell r="C115" t="str">
            <v>Tubo Poste Galvanizado 2 1/4" x 1,8</v>
          </cell>
          <cell r="D115">
            <v>2.65</v>
          </cell>
          <cell r="E115">
            <v>2.65</v>
          </cell>
          <cell r="F115">
            <v>50</v>
          </cell>
          <cell r="G115">
            <v>0</v>
          </cell>
        </row>
        <row r="116">
          <cell r="A116">
            <v>113</v>
          </cell>
          <cell r="B116" t="str">
            <v>ACEROPAXI TUBERIA ESTRUCTURAL POSTE</v>
          </cell>
          <cell r="C116" t="str">
            <v>Tubo Poste Galvanizado 2 1/4" x 2,0</v>
          </cell>
          <cell r="D116">
            <v>2.95</v>
          </cell>
          <cell r="E116">
            <v>2.95</v>
          </cell>
          <cell r="F116">
            <v>50</v>
          </cell>
          <cell r="G116">
            <v>0</v>
          </cell>
        </row>
        <row r="117">
          <cell r="A117">
            <v>114</v>
          </cell>
          <cell r="B117" t="str">
            <v>ACEROPAXI TUBERIA ESTRUCTURAL POSTE</v>
          </cell>
          <cell r="C117" t="str">
            <v>Tubo Poste Galvanizado 2 1/2" x 1,8</v>
          </cell>
          <cell r="D117">
            <v>2.78</v>
          </cell>
          <cell r="E117">
            <v>2.78</v>
          </cell>
          <cell r="F117">
            <v>60</v>
          </cell>
          <cell r="G117">
            <v>0</v>
          </cell>
        </row>
        <row r="118">
          <cell r="A118">
            <v>115</v>
          </cell>
          <cell r="B118" t="str">
            <v>ACEROPAXI TUBERIA ESTRUCTURAL POSTE</v>
          </cell>
          <cell r="C118" t="str">
            <v>Tubo Poste Galvanizado 2 1/2" x 2,0</v>
          </cell>
          <cell r="D118">
            <v>3.09</v>
          </cell>
          <cell r="E118">
            <v>3.09</v>
          </cell>
          <cell r="F118">
            <v>60</v>
          </cell>
          <cell r="G118">
            <v>0</v>
          </cell>
        </row>
        <row r="119">
          <cell r="A119">
            <v>116</v>
          </cell>
          <cell r="B119" t="str">
            <v>ACEROPAXI TUBERIA ESTRUCTURAL RECTANGULAR</v>
          </cell>
          <cell r="C119" t="str">
            <v>Tubo Rectangular 20x 40x 1,50</v>
          </cell>
          <cell r="D119">
            <v>1.4</v>
          </cell>
          <cell r="E119">
            <v>1.4</v>
          </cell>
          <cell r="F119">
            <v>60</v>
          </cell>
          <cell r="G119">
            <v>0</v>
          </cell>
        </row>
        <row r="120">
          <cell r="A120">
            <v>117</v>
          </cell>
          <cell r="B120" t="str">
            <v>ACEROPAXI TUBERIA ESTRUCTURAL RECTANGULAR</v>
          </cell>
          <cell r="C120" t="str">
            <v>Tubo Rectangular 20x 40x 2,0</v>
          </cell>
          <cell r="D120">
            <v>1.85</v>
          </cell>
          <cell r="E120">
            <v>1.85</v>
          </cell>
          <cell r="F120">
            <v>65</v>
          </cell>
          <cell r="G120">
            <v>0</v>
          </cell>
        </row>
        <row r="121">
          <cell r="A121">
            <v>118</v>
          </cell>
          <cell r="B121" t="str">
            <v>ACEROPAXI TUBERIA ESTRUCTURAL RECTANGULAR</v>
          </cell>
          <cell r="C121" t="str">
            <v>Tubo Rectangular 25x 50x 1,50</v>
          </cell>
          <cell r="D121">
            <v>1.76</v>
          </cell>
          <cell r="E121">
            <v>1.76</v>
          </cell>
          <cell r="F121">
            <v>80</v>
          </cell>
          <cell r="G121">
            <v>0</v>
          </cell>
        </row>
        <row r="122">
          <cell r="A122">
            <v>119</v>
          </cell>
          <cell r="B122" t="str">
            <v>ACEROPAXI TUBERIA ESTRUCTURAL RECTANGULAR</v>
          </cell>
          <cell r="C122" t="str">
            <v>Tubo Rectangular 25x 50x 2,0</v>
          </cell>
          <cell r="D122">
            <v>2.3199999999999998</v>
          </cell>
          <cell r="E122">
            <v>2.3199999999999998</v>
          </cell>
          <cell r="F122">
            <v>80</v>
          </cell>
          <cell r="G122">
            <v>0</v>
          </cell>
        </row>
        <row r="123">
          <cell r="A123">
            <v>120</v>
          </cell>
          <cell r="B123" t="str">
            <v>ACEROPAXI TUBERIA ESTRUCTURAL RECTANGULAR</v>
          </cell>
          <cell r="C123" t="str">
            <v>Tubo Rectangular 40x 60x 2,0</v>
          </cell>
          <cell r="D123">
            <v>3.13</v>
          </cell>
          <cell r="E123">
            <v>3.13</v>
          </cell>
          <cell r="F123">
            <v>80</v>
          </cell>
          <cell r="G123">
            <v>0</v>
          </cell>
        </row>
        <row r="124">
          <cell r="A124">
            <v>121</v>
          </cell>
          <cell r="B124" t="str">
            <v>ACEROPAXI TUBERIA ESTRUCTURAL RECTANGULAR</v>
          </cell>
          <cell r="C124" t="str">
            <v>Tubo Rectangular 40x 60x 3,0</v>
          </cell>
          <cell r="D124">
            <v>4.62</v>
          </cell>
          <cell r="E124">
            <v>4.62</v>
          </cell>
          <cell r="F124">
            <v>100</v>
          </cell>
          <cell r="G124">
            <v>0</v>
          </cell>
        </row>
        <row r="125">
          <cell r="A125">
            <v>122</v>
          </cell>
          <cell r="B125" t="str">
            <v>ACEROPAXI TUBERIA ESTRUCTURAL RECTANGULAR</v>
          </cell>
          <cell r="C125" t="str">
            <v>Tubo Rectangular 30x 70x 2,0</v>
          </cell>
          <cell r="D125">
            <v>3.13</v>
          </cell>
          <cell r="E125">
            <v>3.13</v>
          </cell>
          <cell r="F125">
            <v>100</v>
          </cell>
          <cell r="G125">
            <v>0</v>
          </cell>
        </row>
        <row r="126">
          <cell r="A126">
            <v>123</v>
          </cell>
          <cell r="B126" t="str">
            <v>ACEROPAXI TUBERIA ESTRUCTURAL RECTANGULAR</v>
          </cell>
          <cell r="C126" t="str">
            <v>Tubo Rectangular 30x 70x 3,0</v>
          </cell>
          <cell r="D126">
            <v>4.62</v>
          </cell>
          <cell r="E126">
            <v>4.62</v>
          </cell>
          <cell r="F126">
            <v>80</v>
          </cell>
          <cell r="G126">
            <v>0</v>
          </cell>
        </row>
        <row r="127">
          <cell r="A127">
            <v>124</v>
          </cell>
          <cell r="B127" t="str">
            <v>ACEROPAXI TUBERIA ESTRUCTURAL RECTANGULAR</v>
          </cell>
          <cell r="C127" t="str">
            <v>Tubo Rectangular 40x 80x 2,0</v>
          </cell>
          <cell r="D127">
            <v>3.72</v>
          </cell>
          <cell r="E127">
            <v>3.72</v>
          </cell>
          <cell r="F127">
            <v>80</v>
          </cell>
          <cell r="G127">
            <v>0</v>
          </cell>
        </row>
        <row r="128">
          <cell r="A128">
            <v>125</v>
          </cell>
          <cell r="B128" t="str">
            <v>ACEROPAXI TUBERIA ESTRUCTURAL RECTANGULAR</v>
          </cell>
          <cell r="C128" t="str">
            <v>Tubo Rectangular 40x 80x 3,0</v>
          </cell>
          <cell r="D128">
            <v>5.54</v>
          </cell>
          <cell r="E128">
            <v>5.54</v>
          </cell>
          <cell r="F128">
            <v>100</v>
          </cell>
          <cell r="G128">
            <v>0</v>
          </cell>
        </row>
        <row r="129">
          <cell r="A129">
            <v>126</v>
          </cell>
          <cell r="B129" t="str">
            <v>ACEROPAXI TUBERIA ESTRUCTURAL RECTANGULAR</v>
          </cell>
          <cell r="C129" t="str">
            <v>Tubo Rectangular 45x 75x 2,0</v>
          </cell>
          <cell r="D129">
            <v>3.74</v>
          </cell>
          <cell r="E129">
            <v>3.74</v>
          </cell>
          <cell r="F129">
            <v>150</v>
          </cell>
          <cell r="G129">
            <v>0</v>
          </cell>
        </row>
        <row r="130">
          <cell r="A130">
            <v>127</v>
          </cell>
          <cell r="B130" t="str">
            <v>ACEROPAXI TUBERIA ESTRUCTURAL RECTANGULAR</v>
          </cell>
          <cell r="C130" t="str">
            <v>Tubo Rectangular 45x 75x 3,0</v>
          </cell>
          <cell r="D130">
            <v>5.56</v>
          </cell>
          <cell r="E130">
            <v>5.56</v>
          </cell>
          <cell r="F130">
            <v>100</v>
          </cell>
          <cell r="G130">
            <v>0</v>
          </cell>
        </row>
        <row r="131">
          <cell r="A131">
            <v>128</v>
          </cell>
          <cell r="B131" t="str">
            <v>ACEROPAXI TUBERIA ESTRUCTURAL RECTANGULAR</v>
          </cell>
          <cell r="C131" t="str">
            <v>Tubo Rectangular 45x 75x 4,0</v>
          </cell>
          <cell r="D131">
            <v>7.35</v>
          </cell>
          <cell r="E131">
            <v>7.35</v>
          </cell>
          <cell r="F131">
            <v>150</v>
          </cell>
          <cell r="G131">
            <v>0</v>
          </cell>
        </row>
        <row r="132">
          <cell r="A132">
            <v>129</v>
          </cell>
          <cell r="B132" t="str">
            <v>ACEROPAXI TUBERIA ESTRUCTURAL RECTANGULAR</v>
          </cell>
          <cell r="C132" t="str">
            <v>Tubo Rectangular 50x 100x 2,0</v>
          </cell>
          <cell r="D132">
            <v>4.63</v>
          </cell>
          <cell r="E132">
            <v>4.63</v>
          </cell>
          <cell r="F132">
            <v>30</v>
          </cell>
          <cell r="G132">
            <v>0</v>
          </cell>
        </row>
        <row r="133">
          <cell r="A133">
            <v>130</v>
          </cell>
          <cell r="B133" t="str">
            <v>ACEROPAXI TUBERIA ESTRUCTURAL RECTANGULAR</v>
          </cell>
          <cell r="C133" t="str">
            <v>Tubo Rectangular 50x 100x 3,0</v>
          </cell>
          <cell r="D133">
            <v>6.88</v>
          </cell>
          <cell r="E133">
            <v>6.88</v>
          </cell>
          <cell r="F133">
            <v>30</v>
          </cell>
          <cell r="G133">
            <v>0</v>
          </cell>
        </row>
        <row r="134">
          <cell r="A134">
            <v>131</v>
          </cell>
          <cell r="B134" t="str">
            <v>ACEROPAXI TUBERIA ESTRUCTURAL RECTANGULAR</v>
          </cell>
          <cell r="C134" t="str">
            <v>Tubo Rectangular 50x 100x 4,0</v>
          </cell>
          <cell r="D134">
            <v>9.11</v>
          </cell>
          <cell r="E134">
            <v>9.11</v>
          </cell>
          <cell r="F134">
            <v>30</v>
          </cell>
          <cell r="G134">
            <v>0</v>
          </cell>
        </row>
        <row r="135">
          <cell r="A135">
            <v>132</v>
          </cell>
          <cell r="B135" t="str">
            <v>ACEROPAXI TUBERIA ESTRUCTURAL REDONDO</v>
          </cell>
          <cell r="C135" t="str">
            <v>Tubo redondo 5/8" x 1,50</v>
          </cell>
          <cell r="D135">
            <v>0.55000000000000004</v>
          </cell>
          <cell r="E135">
            <v>0.55000000000000004</v>
          </cell>
          <cell r="F135">
            <v>40</v>
          </cell>
          <cell r="G135">
            <v>0</v>
          </cell>
        </row>
        <row r="136">
          <cell r="A136">
            <v>133</v>
          </cell>
          <cell r="B136" t="str">
            <v>ACEROPAXI TUBERIA ESTRUCTURAL REDONDO</v>
          </cell>
          <cell r="C136" t="str">
            <v>Tubo redondo 3/4" x 1,50</v>
          </cell>
          <cell r="D136">
            <v>0.67</v>
          </cell>
          <cell r="E136">
            <v>0.67</v>
          </cell>
          <cell r="F136">
            <v>40</v>
          </cell>
          <cell r="G136">
            <v>0</v>
          </cell>
        </row>
        <row r="137">
          <cell r="A137">
            <v>134</v>
          </cell>
          <cell r="B137" t="str">
            <v>ACEROPAXI TUBERIA ESTRUCTURAL REDONDO</v>
          </cell>
          <cell r="C137" t="str">
            <v>Tubo redondo 7/8" x 1,50</v>
          </cell>
          <cell r="D137">
            <v>0.78</v>
          </cell>
          <cell r="E137">
            <v>0.78</v>
          </cell>
          <cell r="F137">
            <v>50</v>
          </cell>
          <cell r="G137">
            <v>0</v>
          </cell>
        </row>
        <row r="138">
          <cell r="A138">
            <v>135</v>
          </cell>
          <cell r="B138" t="str">
            <v>ACEROPAXI TUBERIA ESTRUCTURAL REDONDO</v>
          </cell>
          <cell r="C138" t="str">
            <v>Tubo redondo 1" x 1,50</v>
          </cell>
          <cell r="D138">
            <v>0.94</v>
          </cell>
          <cell r="E138">
            <v>0.94</v>
          </cell>
          <cell r="F138">
            <v>50</v>
          </cell>
          <cell r="G138">
            <v>0</v>
          </cell>
        </row>
        <row r="139">
          <cell r="A139">
            <v>136</v>
          </cell>
          <cell r="B139" t="str">
            <v>ACEROPAXI TUBERIA ESTRUCTURAL REDONDO</v>
          </cell>
          <cell r="C139" t="str">
            <v>Tubo redondo 1" x 2,0</v>
          </cell>
          <cell r="D139">
            <v>1.23</v>
          </cell>
          <cell r="E139">
            <v>1.23</v>
          </cell>
          <cell r="F139">
            <v>50</v>
          </cell>
          <cell r="G139">
            <v>0</v>
          </cell>
        </row>
        <row r="140">
          <cell r="A140">
            <v>137</v>
          </cell>
          <cell r="B140" t="str">
            <v>ACEROPAXI TUBERIA ESTRUCTURAL REDONDO</v>
          </cell>
          <cell r="C140" t="str">
            <v>Tubo redondo 1 1/4" x 1,50</v>
          </cell>
          <cell r="D140">
            <v>1.18</v>
          </cell>
          <cell r="E140">
            <v>1.18</v>
          </cell>
          <cell r="F140">
            <v>50</v>
          </cell>
          <cell r="G140">
            <v>0</v>
          </cell>
        </row>
        <row r="141">
          <cell r="A141">
            <v>138</v>
          </cell>
          <cell r="B141" t="str">
            <v>ACEROPAXI TUBERIA ESTRUCTURAL REDONDO</v>
          </cell>
          <cell r="C141" t="str">
            <v>Tubo redondo 1 1/4" x 2,0</v>
          </cell>
          <cell r="D141">
            <v>1.55</v>
          </cell>
          <cell r="E141">
            <v>1.55</v>
          </cell>
          <cell r="F141">
            <v>50</v>
          </cell>
          <cell r="G141">
            <v>0</v>
          </cell>
        </row>
        <row r="142">
          <cell r="A142">
            <v>139</v>
          </cell>
          <cell r="B142" t="str">
            <v>ACEROPAXI TUBERIA ESTRUCTURAL REDONDO</v>
          </cell>
          <cell r="C142" t="str">
            <v>Tubo redondo 1 1/2" x 1,50</v>
          </cell>
          <cell r="D142">
            <v>1.4</v>
          </cell>
          <cell r="E142">
            <v>1.4</v>
          </cell>
          <cell r="F142">
            <v>50</v>
          </cell>
          <cell r="G142">
            <v>0</v>
          </cell>
        </row>
        <row r="143">
          <cell r="A143">
            <v>140</v>
          </cell>
          <cell r="B143" t="str">
            <v>ACEROPAXI TUBERIA ESTRUCTURAL REDONDO</v>
          </cell>
          <cell r="C143" t="str">
            <v>Tubo redondo 1 1/2" x 2,0</v>
          </cell>
          <cell r="D143">
            <v>1.85</v>
          </cell>
          <cell r="E143">
            <v>1.85</v>
          </cell>
          <cell r="F143">
            <v>50</v>
          </cell>
          <cell r="G143">
            <v>0</v>
          </cell>
        </row>
        <row r="144">
          <cell r="A144">
            <v>141</v>
          </cell>
          <cell r="B144" t="str">
            <v>ACEROPAXI TUBERIA ESTRUCTURAL REDONDO</v>
          </cell>
          <cell r="C144" t="str">
            <v>Tubo redondo 1 3/4" x 1,50</v>
          </cell>
          <cell r="D144">
            <v>1.6</v>
          </cell>
          <cell r="E144">
            <v>1.6</v>
          </cell>
          <cell r="F144">
            <v>50</v>
          </cell>
          <cell r="G144">
            <v>0</v>
          </cell>
        </row>
        <row r="145">
          <cell r="A145">
            <v>142</v>
          </cell>
          <cell r="B145" t="str">
            <v>ACEROPAXI TUBERIA ESTRUCTURAL REDONDO</v>
          </cell>
          <cell r="C145" t="str">
            <v>Tubo redondo 1 3/4" x 2,0</v>
          </cell>
          <cell r="D145">
            <v>2.13</v>
          </cell>
          <cell r="E145">
            <v>2.13</v>
          </cell>
          <cell r="F145">
            <v>50</v>
          </cell>
          <cell r="G145">
            <v>0</v>
          </cell>
        </row>
        <row r="146">
          <cell r="A146">
            <v>143</v>
          </cell>
          <cell r="B146" t="str">
            <v>ACEROPAXI TUBERIA ESTRUCTURAL REDONDO</v>
          </cell>
          <cell r="C146" t="str">
            <v>Tubo redondo 1 7/8" x 1,50</v>
          </cell>
          <cell r="D146">
            <v>1.76</v>
          </cell>
          <cell r="E146">
            <v>1.76</v>
          </cell>
          <cell r="F146">
            <v>50</v>
          </cell>
          <cell r="G146">
            <v>0</v>
          </cell>
        </row>
        <row r="147">
          <cell r="A147">
            <v>144</v>
          </cell>
          <cell r="B147" t="str">
            <v>ACEROPAXI TUBERIA ESTRUCTURAL REDONDO</v>
          </cell>
          <cell r="C147" t="str">
            <v>Tubo redondo 1 7/8" x 2,0</v>
          </cell>
          <cell r="D147">
            <v>2.3199999999999998</v>
          </cell>
          <cell r="E147">
            <v>2.3199999999999998</v>
          </cell>
          <cell r="F147">
            <v>50</v>
          </cell>
          <cell r="G147">
            <v>0</v>
          </cell>
        </row>
        <row r="148">
          <cell r="A148">
            <v>145</v>
          </cell>
          <cell r="B148" t="str">
            <v>ACEROPAXI TUBERIA ESTRUCTURAL REDONDO</v>
          </cell>
          <cell r="C148" t="str">
            <v>Tubo redondo 2" x 1,50</v>
          </cell>
          <cell r="D148">
            <v>1.88</v>
          </cell>
          <cell r="E148">
            <v>1.88</v>
          </cell>
          <cell r="F148">
            <v>50</v>
          </cell>
          <cell r="G148">
            <v>0</v>
          </cell>
        </row>
        <row r="149">
          <cell r="A149">
            <v>146</v>
          </cell>
          <cell r="B149" t="str">
            <v>ACEROPAXI TUBERIA ESTRUCTURAL REDONDO</v>
          </cell>
          <cell r="C149" t="str">
            <v>Tubo redondo 2" x 2,0</v>
          </cell>
          <cell r="D149">
            <v>2.4900000000000002</v>
          </cell>
          <cell r="E149">
            <v>2.4900000000000002</v>
          </cell>
          <cell r="F149">
            <v>50</v>
          </cell>
          <cell r="G149">
            <v>0</v>
          </cell>
        </row>
        <row r="150">
          <cell r="A150">
            <v>147</v>
          </cell>
          <cell r="B150" t="str">
            <v>ACEROPAXI TUBERIA ESTRUCTURAL REDONDO</v>
          </cell>
          <cell r="C150" t="str">
            <v>Tubo redondo 2"  x 3,0</v>
          </cell>
          <cell r="D150">
            <v>3.67</v>
          </cell>
          <cell r="E150">
            <v>3.67</v>
          </cell>
          <cell r="F150">
            <v>50</v>
          </cell>
          <cell r="G150">
            <v>0</v>
          </cell>
        </row>
        <row r="151">
          <cell r="A151">
            <v>148</v>
          </cell>
          <cell r="B151" t="str">
            <v>ACEROPAXI TUBERIA ESTRUCTURAL REDONDO</v>
          </cell>
          <cell r="C151" t="str">
            <v xml:space="preserve">Tubo redondo 2 1/4" x 1,50 </v>
          </cell>
          <cell r="D151">
            <v>2.08</v>
          </cell>
          <cell r="E151">
            <v>2.08</v>
          </cell>
          <cell r="F151">
            <v>100</v>
          </cell>
          <cell r="G151">
            <v>0</v>
          </cell>
        </row>
        <row r="152">
          <cell r="A152">
            <v>149</v>
          </cell>
          <cell r="B152" t="str">
            <v>ACEROPAXI TUBERIA ESTRUCTURAL REDONDO</v>
          </cell>
          <cell r="C152" t="str">
            <v>Tubo redondo 2 1/4" x 2,0</v>
          </cell>
          <cell r="D152">
            <v>2.79</v>
          </cell>
          <cell r="E152">
            <v>2.79</v>
          </cell>
          <cell r="F152">
            <v>100</v>
          </cell>
          <cell r="G152">
            <v>0</v>
          </cell>
        </row>
        <row r="153">
          <cell r="A153">
            <v>150</v>
          </cell>
          <cell r="B153" t="str">
            <v>ACEROPAXI TUBERIA ESTRUCTURAL REDONDO</v>
          </cell>
          <cell r="C153" t="str">
            <v>Tubo redondo 2 3/8" x 1,50</v>
          </cell>
          <cell r="D153">
            <v>2.23</v>
          </cell>
          <cell r="E153">
            <v>2.23</v>
          </cell>
          <cell r="F153">
            <v>100</v>
          </cell>
          <cell r="G153">
            <v>0</v>
          </cell>
        </row>
        <row r="154">
          <cell r="A154">
            <v>151</v>
          </cell>
          <cell r="B154" t="str">
            <v>ACEROPAXI TUBERIA ESTRUCTURAL REDONDO</v>
          </cell>
          <cell r="C154" t="str">
            <v>Tubo redondo 2 3/8" x 2,0</v>
          </cell>
          <cell r="D154">
            <v>2.97</v>
          </cell>
          <cell r="E154">
            <v>2.97</v>
          </cell>
          <cell r="F154">
            <v>60</v>
          </cell>
          <cell r="G154">
            <v>0</v>
          </cell>
        </row>
        <row r="155">
          <cell r="A155">
            <v>152</v>
          </cell>
          <cell r="B155" t="str">
            <v>ACEROPAXI TUBERIA ESTRUCTURAL REDONDO</v>
          </cell>
          <cell r="C155" t="str">
            <v>Tubo redondo 2 3/8" x 3,0</v>
          </cell>
          <cell r="D155">
            <v>4.38</v>
          </cell>
          <cell r="E155">
            <v>4.38</v>
          </cell>
          <cell r="F155">
            <v>60</v>
          </cell>
          <cell r="G155">
            <v>0</v>
          </cell>
        </row>
        <row r="156">
          <cell r="A156">
            <v>153</v>
          </cell>
          <cell r="B156" t="str">
            <v>ACEROPAXI TUBERIA ESTRUCTURAL REDONDO</v>
          </cell>
          <cell r="C156" t="str">
            <v>Tubo redondo 2 1/2" x 1,50</v>
          </cell>
          <cell r="D156">
            <v>2.35</v>
          </cell>
          <cell r="E156">
            <v>2.35</v>
          </cell>
          <cell r="F156">
            <v>50</v>
          </cell>
          <cell r="G156">
            <v>0</v>
          </cell>
        </row>
        <row r="157">
          <cell r="A157">
            <v>154</v>
          </cell>
          <cell r="B157" t="str">
            <v>ACEROPAXI TUBERIA ESTRUCTURAL REDONDO</v>
          </cell>
          <cell r="C157" t="str">
            <v>Tubo redondo 2 1/2" x 2,0</v>
          </cell>
          <cell r="D157">
            <v>3.11</v>
          </cell>
          <cell r="E157">
            <v>3.11</v>
          </cell>
          <cell r="F157">
            <v>60</v>
          </cell>
          <cell r="G157">
            <v>0</v>
          </cell>
        </row>
        <row r="158">
          <cell r="A158">
            <v>155</v>
          </cell>
          <cell r="B158" t="str">
            <v>ACEROPAXI TUBERIA ESTRUCTURAL REDONDO</v>
          </cell>
          <cell r="C158" t="str">
            <v>Tubo redondo 2 1/2" x 3,0</v>
          </cell>
          <cell r="D158">
            <v>4.59</v>
          </cell>
          <cell r="E158">
            <v>4.59</v>
          </cell>
          <cell r="F158">
            <v>80</v>
          </cell>
          <cell r="G158">
            <v>0</v>
          </cell>
        </row>
        <row r="159">
          <cell r="A159">
            <v>156</v>
          </cell>
          <cell r="B159" t="str">
            <v>ACEROPAXI TUBERIA ESTRUCTURAL REDONDO</v>
          </cell>
          <cell r="C159" t="str">
            <v>Tubo redondo 3" x 2,0</v>
          </cell>
          <cell r="D159">
            <v>3.74</v>
          </cell>
          <cell r="E159">
            <v>3.74</v>
          </cell>
          <cell r="F159">
            <v>60</v>
          </cell>
          <cell r="G159">
            <v>0</v>
          </cell>
        </row>
        <row r="160">
          <cell r="A160">
            <v>157</v>
          </cell>
          <cell r="B160" t="str">
            <v>ACEROPAXI TUBERIA ESTRUCTURAL REDONDO</v>
          </cell>
          <cell r="C160" t="str">
            <v>Tubo redondo 3" x 3,0</v>
          </cell>
          <cell r="D160">
            <v>5.56</v>
          </cell>
          <cell r="E160">
            <v>5.56</v>
          </cell>
          <cell r="F160">
            <v>60</v>
          </cell>
          <cell r="G160">
            <v>0</v>
          </cell>
        </row>
        <row r="161">
          <cell r="A161">
            <v>158</v>
          </cell>
          <cell r="B161" t="str">
            <v>ACEROPAXI TUBERIA ESTRUCTURAL REDONDO</v>
          </cell>
          <cell r="C161" t="str">
            <v>Tubo redondo 3" x 4,0</v>
          </cell>
          <cell r="D161">
            <v>7.35</v>
          </cell>
          <cell r="E161">
            <v>7.35</v>
          </cell>
          <cell r="F161">
            <v>70</v>
          </cell>
          <cell r="G161">
            <v>0</v>
          </cell>
        </row>
        <row r="162">
          <cell r="A162">
            <v>159</v>
          </cell>
          <cell r="B162" t="str">
            <v>ACEROPAXI TUBERIA ESTRUCTURAL REDONDO</v>
          </cell>
          <cell r="C162" t="str">
            <v>Tubo redondo 3 1/2" x 2,0</v>
          </cell>
          <cell r="D162">
            <v>4.37</v>
          </cell>
          <cell r="E162">
            <v>4.37</v>
          </cell>
          <cell r="F162">
            <v>60</v>
          </cell>
          <cell r="G162">
            <v>0</v>
          </cell>
        </row>
        <row r="163">
          <cell r="A163">
            <v>160</v>
          </cell>
          <cell r="B163" t="str">
            <v>ACEROPAXI TUBERIA ESTRUCTURAL REDONDO</v>
          </cell>
          <cell r="C163" t="str">
            <v>Tubo redondo 3 1/2" x 3,0</v>
          </cell>
          <cell r="D163">
            <v>6.5</v>
          </cell>
          <cell r="E163">
            <v>6.5</v>
          </cell>
          <cell r="F163">
            <v>60</v>
          </cell>
          <cell r="G163">
            <v>0</v>
          </cell>
        </row>
        <row r="164">
          <cell r="A164">
            <v>161</v>
          </cell>
          <cell r="B164" t="str">
            <v>ACEROPAXI TUBERIA ESTRUCTURAL REDONDO</v>
          </cell>
          <cell r="C164" t="str">
            <v>Tubo redondo 3 1/2" x 4,0</v>
          </cell>
          <cell r="D164">
            <v>8.6</v>
          </cell>
          <cell r="E164">
            <v>8.6</v>
          </cell>
          <cell r="F164">
            <v>80</v>
          </cell>
          <cell r="G164">
            <v>0</v>
          </cell>
        </row>
        <row r="165">
          <cell r="A165">
            <v>162</v>
          </cell>
          <cell r="B165" t="str">
            <v>ACEROPAXI TUBERIA ESTRUCTURAL REDONDO</v>
          </cell>
          <cell r="C165" t="str">
            <v>Tubo redondo 4 1/2" x 2,0</v>
          </cell>
          <cell r="D165">
            <v>5.61</v>
          </cell>
          <cell r="E165">
            <v>5.61</v>
          </cell>
          <cell r="F165">
            <v>70</v>
          </cell>
          <cell r="G165">
            <v>0</v>
          </cell>
        </row>
        <row r="166">
          <cell r="A166">
            <v>163</v>
          </cell>
          <cell r="B166" t="str">
            <v>ACEROPAXI TUBERIA ESTRUCTURAL REDONDO</v>
          </cell>
          <cell r="C166" t="str">
            <v>Tubo redondo 4 1/2" x 3,0</v>
          </cell>
          <cell r="D166">
            <v>8.36</v>
          </cell>
          <cell r="E166">
            <v>8.36</v>
          </cell>
          <cell r="F166">
            <v>70</v>
          </cell>
          <cell r="G166">
            <v>0</v>
          </cell>
        </row>
        <row r="167">
          <cell r="A167">
            <v>164</v>
          </cell>
          <cell r="B167" t="str">
            <v>ACEROPAXI TUBERIA ESTRUCTURAL REDONDO</v>
          </cell>
          <cell r="C167" t="str">
            <v>Tubo redondo 4 1/2" x 4,0</v>
          </cell>
          <cell r="D167">
            <v>11.09</v>
          </cell>
          <cell r="E167">
            <v>11.09</v>
          </cell>
          <cell r="F167">
            <v>80</v>
          </cell>
          <cell r="G167">
            <v>0</v>
          </cell>
        </row>
        <row r="168">
          <cell r="A168">
            <v>165</v>
          </cell>
          <cell r="B168" t="str">
            <v>ACEROPAXI TUBERIA ESTRUCTURAL REDONDO</v>
          </cell>
          <cell r="C168" t="str">
            <v>Tubo redondo 5" x 2,0</v>
          </cell>
          <cell r="D168">
            <v>6.22</v>
          </cell>
          <cell r="E168">
            <v>6.22</v>
          </cell>
          <cell r="F168">
            <v>80</v>
          </cell>
          <cell r="G168">
            <v>0</v>
          </cell>
        </row>
        <row r="169">
          <cell r="A169">
            <v>166</v>
          </cell>
          <cell r="B169" t="str">
            <v>ACEROPAXI TUBERIA ESTRUCTURAL REDONDO</v>
          </cell>
          <cell r="C169" t="str">
            <v>Tubo redondo 5" x 3,0</v>
          </cell>
          <cell r="D169">
            <v>9.26</v>
          </cell>
          <cell r="E169">
            <v>9.26</v>
          </cell>
          <cell r="F169">
            <v>60</v>
          </cell>
          <cell r="G169">
            <v>0</v>
          </cell>
        </row>
        <row r="170">
          <cell r="A170">
            <v>167</v>
          </cell>
          <cell r="B170" t="str">
            <v>ACEROPAXI TUBERIA ESTRUCTURAL REDONDO</v>
          </cell>
          <cell r="C170" t="str">
            <v>Tubo redondo 5" x 4,0</v>
          </cell>
          <cell r="D170">
            <v>12.28</v>
          </cell>
          <cell r="E170">
            <v>12.28</v>
          </cell>
          <cell r="F170">
            <v>80</v>
          </cell>
          <cell r="G170">
            <v>0</v>
          </cell>
        </row>
        <row r="171">
          <cell r="A171">
            <v>168</v>
          </cell>
          <cell r="B171" t="str">
            <v>ACEROPAXI TUBERIA ISO I</v>
          </cell>
          <cell r="C171" t="str">
            <v>Tubo ISO I 1/2"</v>
          </cell>
          <cell r="D171">
            <v>1.0900000000000001</v>
          </cell>
          <cell r="E171">
            <v>1.0900000000000001</v>
          </cell>
          <cell r="F171">
            <v>80</v>
          </cell>
          <cell r="G171">
            <v>0</v>
          </cell>
        </row>
        <row r="172">
          <cell r="A172">
            <v>169</v>
          </cell>
          <cell r="B172" t="str">
            <v>ACEROPAXI TUBERIA ISO I</v>
          </cell>
          <cell r="C172" t="str">
            <v>Tubo ISO I 3/4"</v>
          </cell>
          <cell r="D172">
            <v>1.39</v>
          </cell>
          <cell r="E172">
            <v>1.39</v>
          </cell>
          <cell r="F172">
            <v>80</v>
          </cell>
          <cell r="G172">
            <v>0</v>
          </cell>
        </row>
        <row r="173">
          <cell r="A173">
            <v>170</v>
          </cell>
          <cell r="B173" t="str">
            <v>ACEROPAXI TUBERIA ISO I</v>
          </cell>
          <cell r="C173" t="str">
            <v>Tubo ISO I 1"</v>
          </cell>
          <cell r="D173">
            <v>2.2000000000000002</v>
          </cell>
          <cell r="E173">
            <v>2.2000000000000002</v>
          </cell>
          <cell r="F173">
            <v>80</v>
          </cell>
          <cell r="G173">
            <v>0</v>
          </cell>
        </row>
        <row r="174">
          <cell r="A174">
            <v>171</v>
          </cell>
          <cell r="B174" t="str">
            <v>ACEROPAXI TUBERIA ISO I</v>
          </cell>
          <cell r="C174" t="str">
            <v>Tubo ISO I 1 1/4"</v>
          </cell>
          <cell r="D174">
            <v>2.82</v>
          </cell>
          <cell r="E174">
            <v>2.82</v>
          </cell>
          <cell r="F174">
            <v>80</v>
          </cell>
          <cell r="G174">
            <v>0</v>
          </cell>
        </row>
        <row r="175">
          <cell r="A175">
            <v>172</v>
          </cell>
          <cell r="B175" t="str">
            <v>ACEROPAXI TUBERIA ISO I</v>
          </cell>
          <cell r="C175" t="str">
            <v>Tubo ISO I 1 1/2"</v>
          </cell>
          <cell r="D175">
            <v>3.28</v>
          </cell>
          <cell r="E175">
            <v>3.28</v>
          </cell>
          <cell r="F175">
            <v>80</v>
          </cell>
          <cell r="G175">
            <v>0</v>
          </cell>
        </row>
        <row r="176">
          <cell r="A176">
            <v>173</v>
          </cell>
          <cell r="B176" t="str">
            <v>ACEROPAXI TUBERIA ISO I</v>
          </cell>
          <cell r="C176" t="str">
            <v>Tubo ISO I 2"</v>
          </cell>
          <cell r="D176">
            <v>4.49</v>
          </cell>
          <cell r="E176">
            <v>4.49</v>
          </cell>
          <cell r="F176">
            <v>80</v>
          </cell>
          <cell r="G176">
            <v>0</v>
          </cell>
        </row>
        <row r="177">
          <cell r="A177">
            <v>174</v>
          </cell>
          <cell r="B177" t="str">
            <v>ACEROPAXI TUBERIA ISO I</v>
          </cell>
          <cell r="C177" t="str">
            <v>Tubo ISO I 2 1/2"</v>
          </cell>
          <cell r="D177">
            <v>5.73</v>
          </cell>
          <cell r="E177">
            <v>5.73</v>
          </cell>
          <cell r="F177">
            <v>80</v>
          </cell>
          <cell r="G177">
            <v>0</v>
          </cell>
        </row>
        <row r="178">
          <cell r="A178">
            <v>175</v>
          </cell>
          <cell r="B178" t="str">
            <v>ACEROPAXI TUBERIA ISO I</v>
          </cell>
          <cell r="C178" t="str">
            <v>Tubo ISO I 3"</v>
          </cell>
          <cell r="D178">
            <v>7.55</v>
          </cell>
          <cell r="E178">
            <v>7.55</v>
          </cell>
          <cell r="F178">
            <v>100</v>
          </cell>
          <cell r="G178">
            <v>0</v>
          </cell>
        </row>
        <row r="179">
          <cell r="A179">
            <v>176</v>
          </cell>
          <cell r="B179" t="str">
            <v>ACEROPAXI TUBERIA ISO I</v>
          </cell>
          <cell r="C179" t="str">
            <v>Tubo ISO I 4"</v>
          </cell>
          <cell r="D179">
            <v>10.8</v>
          </cell>
          <cell r="E179">
            <v>10.8</v>
          </cell>
          <cell r="F179">
            <v>100</v>
          </cell>
          <cell r="G179">
            <v>0</v>
          </cell>
        </row>
        <row r="180">
          <cell r="A180">
            <v>177</v>
          </cell>
          <cell r="B180" t="str">
            <v>ACEROPAXI TUBERIA ISO II</v>
          </cell>
          <cell r="C180" t="str">
            <v>Tubo ISO II 1/2"</v>
          </cell>
          <cell r="D180">
            <v>0.94699999999999995</v>
          </cell>
          <cell r="E180">
            <v>0.94699999999999995</v>
          </cell>
          <cell r="F180">
            <v>100</v>
          </cell>
          <cell r="G180">
            <v>0</v>
          </cell>
        </row>
        <row r="181">
          <cell r="A181">
            <v>178</v>
          </cell>
          <cell r="B181" t="str">
            <v>ACEROPAXI TUBERIA ISO II</v>
          </cell>
          <cell r="C181" t="str">
            <v>Tubo ISO II 3/4"</v>
          </cell>
          <cell r="D181">
            <v>1.39</v>
          </cell>
          <cell r="E181">
            <v>1.39</v>
          </cell>
          <cell r="F181">
            <v>100</v>
          </cell>
          <cell r="G181">
            <v>0</v>
          </cell>
        </row>
        <row r="182">
          <cell r="A182">
            <v>179</v>
          </cell>
          <cell r="B182" t="str">
            <v>ACEROPAXI TUBERIA ISO II</v>
          </cell>
          <cell r="C182" t="str">
            <v>Tubo ISO II 1"</v>
          </cell>
          <cell r="D182">
            <v>1.98</v>
          </cell>
          <cell r="E182">
            <v>1.98</v>
          </cell>
          <cell r="F182">
            <v>13.7</v>
          </cell>
          <cell r="G182">
            <v>0</v>
          </cell>
        </row>
        <row r="183">
          <cell r="A183">
            <v>180</v>
          </cell>
          <cell r="B183" t="str">
            <v>ACEROPAXI TUBERIA ISO II</v>
          </cell>
          <cell r="C183" t="str">
            <v>Tubo ISO II 1 1/4"</v>
          </cell>
          <cell r="D183">
            <v>2.54</v>
          </cell>
          <cell r="E183">
            <v>2.54</v>
          </cell>
          <cell r="F183">
            <v>17.100000000000001</v>
          </cell>
          <cell r="G183">
            <v>0</v>
          </cell>
        </row>
        <row r="184">
          <cell r="A184">
            <v>181</v>
          </cell>
          <cell r="B184" t="str">
            <v>ACEROPAXI TUBERIA ISO II</v>
          </cell>
          <cell r="C184" t="str">
            <v>Tubo ISO II 1 1/2"</v>
          </cell>
          <cell r="D184">
            <v>3.23</v>
          </cell>
          <cell r="E184">
            <v>3.23</v>
          </cell>
          <cell r="F184">
            <v>21.3</v>
          </cell>
          <cell r="G184">
            <v>0</v>
          </cell>
        </row>
        <row r="185">
          <cell r="A185">
            <v>182</v>
          </cell>
          <cell r="B185" t="str">
            <v>ACEROPAXI TUBERIA ISO II</v>
          </cell>
          <cell r="C185" t="str">
            <v>Tubo ISO II 2"</v>
          </cell>
          <cell r="D185">
            <v>4.08</v>
          </cell>
          <cell r="E185">
            <v>4.08</v>
          </cell>
          <cell r="F185">
            <v>26.7</v>
          </cell>
          <cell r="G185">
            <v>0</v>
          </cell>
        </row>
        <row r="186">
          <cell r="A186">
            <v>183</v>
          </cell>
          <cell r="B186" t="str">
            <v>ACEROPAXI TUBERIA ISO II</v>
          </cell>
          <cell r="C186" t="str">
            <v>Tubo ISO II 2 1/2"</v>
          </cell>
          <cell r="D186">
            <v>5.71</v>
          </cell>
          <cell r="E186">
            <v>5.71</v>
          </cell>
          <cell r="F186">
            <v>33.4</v>
          </cell>
          <cell r="G186">
            <v>0</v>
          </cell>
        </row>
        <row r="187">
          <cell r="A187">
            <v>184</v>
          </cell>
          <cell r="B187" t="str">
            <v>ACEROPAXI TUBERIA ISO II</v>
          </cell>
          <cell r="C187" t="str">
            <v>Tubo ISO II 3"</v>
          </cell>
          <cell r="D187">
            <v>6.72</v>
          </cell>
          <cell r="E187">
            <v>6.72</v>
          </cell>
          <cell r="F187">
            <v>42.2</v>
          </cell>
          <cell r="G187">
            <v>0</v>
          </cell>
        </row>
        <row r="188">
          <cell r="A188">
            <v>185</v>
          </cell>
          <cell r="B188" t="str">
            <v>ACEROPAXI TUBERIA ISO II</v>
          </cell>
          <cell r="C188" t="str">
            <v>Tubo ISO II 4"</v>
          </cell>
          <cell r="D188">
            <v>9.75</v>
          </cell>
          <cell r="E188">
            <v>9.75</v>
          </cell>
          <cell r="F188">
            <v>48.3</v>
          </cell>
          <cell r="G188">
            <v>0</v>
          </cell>
        </row>
        <row r="189">
          <cell r="A189">
            <v>186</v>
          </cell>
          <cell r="B189" t="str">
            <v>ACEROPAXI TUBERIA MECANICA CUADRADA</v>
          </cell>
          <cell r="C189" t="str">
            <v>Tubo Cuadrado 12x 0,75</v>
          </cell>
          <cell r="D189">
            <v>0.28000000000000003</v>
          </cell>
          <cell r="E189">
            <v>0.28000000000000003</v>
          </cell>
          <cell r="F189">
            <v>60.3</v>
          </cell>
          <cell r="G189">
            <v>0</v>
          </cell>
        </row>
        <row r="190">
          <cell r="A190">
            <v>187</v>
          </cell>
          <cell r="B190" t="str">
            <v>ACEROPAXI TUBERIA MECANICA CUADRADA</v>
          </cell>
          <cell r="C190" t="str">
            <v>Tubo Cuadrado 12x 0,90</v>
          </cell>
          <cell r="D190">
            <v>0.34</v>
          </cell>
          <cell r="E190">
            <v>0.34</v>
          </cell>
          <cell r="F190">
            <v>73</v>
          </cell>
          <cell r="G190">
            <v>0</v>
          </cell>
        </row>
        <row r="191">
          <cell r="A191">
            <v>188</v>
          </cell>
          <cell r="B191" t="str">
            <v>ACEROPAXI TUBERIA MECANICA CUADRADA</v>
          </cell>
          <cell r="C191" t="str">
            <v>Tubo Cuadrado 20x 0,75</v>
          </cell>
          <cell r="D191">
            <v>0.46</v>
          </cell>
          <cell r="E191">
            <v>0.46</v>
          </cell>
          <cell r="F191">
            <v>88.9</v>
          </cell>
          <cell r="G191">
            <v>0</v>
          </cell>
        </row>
        <row r="192">
          <cell r="A192">
            <v>189</v>
          </cell>
          <cell r="B192" t="str">
            <v>ACEROPAXI TUBERIA MECANICA CUADRADA</v>
          </cell>
          <cell r="C192" t="str">
            <v>Tubo Cuadrado 20x 0,90</v>
          </cell>
          <cell r="D192">
            <v>0.54</v>
          </cell>
          <cell r="E192">
            <v>0.54</v>
          </cell>
          <cell r="F192">
            <v>101.6</v>
          </cell>
          <cell r="G192">
            <v>0</v>
          </cell>
        </row>
        <row r="193">
          <cell r="A193">
            <v>190</v>
          </cell>
          <cell r="B193" t="str">
            <v>ACEROPAXI TUBERIA MECANICA CUADRADA</v>
          </cell>
          <cell r="C193" t="str">
            <v>Tubo Cuadrado 20x 1,10</v>
          </cell>
          <cell r="D193">
            <v>0.65</v>
          </cell>
          <cell r="E193">
            <v>0.65</v>
          </cell>
          <cell r="F193">
            <v>114.3</v>
          </cell>
          <cell r="G193">
            <v>0</v>
          </cell>
        </row>
        <row r="194">
          <cell r="A194">
            <v>191</v>
          </cell>
          <cell r="B194" t="str">
            <v>ACEROPAXI TUBERIA MECANICA CUADRADA</v>
          </cell>
          <cell r="C194" t="str">
            <v>Tubo Cuadrado 25x 0,75</v>
          </cell>
          <cell r="D194">
            <v>0.56999999999999995</v>
          </cell>
          <cell r="E194">
            <v>0.56999999999999995</v>
          </cell>
          <cell r="F194">
            <v>141.30000000000001</v>
          </cell>
          <cell r="G194">
            <v>0</v>
          </cell>
        </row>
        <row r="195">
          <cell r="A195">
            <v>192</v>
          </cell>
          <cell r="B195" t="str">
            <v>ACEROPAXI TUBERIA MECANICA CUADRADA</v>
          </cell>
          <cell r="C195" t="str">
            <v>Tubo Cuadrado 25x 0,90</v>
          </cell>
          <cell r="D195">
            <v>0.72</v>
          </cell>
          <cell r="E195">
            <v>0.72</v>
          </cell>
          <cell r="F195">
            <v>168.3</v>
          </cell>
          <cell r="G195">
            <v>0</v>
          </cell>
        </row>
        <row r="196">
          <cell r="A196">
            <v>193</v>
          </cell>
          <cell r="B196" t="str">
            <v>ACEROPAXI TUBERIA MECANICA CUADRADA</v>
          </cell>
          <cell r="C196" t="str">
            <v>Tubo Cuadrado 25x 1,10</v>
          </cell>
          <cell r="D196">
            <v>0.88</v>
          </cell>
          <cell r="E196">
            <v>0.88</v>
          </cell>
          <cell r="F196">
            <v>219.1</v>
          </cell>
          <cell r="G196">
            <v>0</v>
          </cell>
        </row>
        <row r="197">
          <cell r="A197">
            <v>194</v>
          </cell>
          <cell r="B197" t="str">
            <v>ACEROPAXI TUBERIA MECANICA CUADRADA</v>
          </cell>
          <cell r="C197" t="str">
            <v>Tubo Cuadrado 30x 0,90</v>
          </cell>
          <cell r="D197">
            <v>0.82</v>
          </cell>
          <cell r="E197">
            <v>0.82</v>
          </cell>
          <cell r="F197">
            <v>273</v>
          </cell>
          <cell r="G197">
            <v>0</v>
          </cell>
        </row>
        <row r="198">
          <cell r="A198">
            <v>195</v>
          </cell>
          <cell r="B198" t="str">
            <v>ACEROPAXI TUBERIA MECANICA CUADRADA</v>
          </cell>
          <cell r="C198" t="str">
            <v>Tubo Cuadrado 30x 1,10</v>
          </cell>
          <cell r="D198">
            <v>1</v>
          </cell>
          <cell r="E198">
            <v>1</v>
          </cell>
          <cell r="F198">
            <v>323.8</v>
          </cell>
          <cell r="G198">
            <v>0</v>
          </cell>
        </row>
        <row r="199">
          <cell r="A199">
            <v>196</v>
          </cell>
          <cell r="B199" t="str">
            <v>ACEROPAXI TUBERIA MECANICA CUADRADA</v>
          </cell>
          <cell r="C199" t="str">
            <v>Tubo Cuadrado 40x 0,90</v>
          </cell>
          <cell r="D199">
            <v>1.07</v>
          </cell>
          <cell r="E199">
            <v>1.07</v>
          </cell>
          <cell r="F199">
            <v>13.7</v>
          </cell>
          <cell r="G199">
            <v>0</v>
          </cell>
        </row>
        <row r="200">
          <cell r="A200">
            <v>197</v>
          </cell>
          <cell r="B200" t="str">
            <v>ACEROPAXI TUBERIA MECANICA CUADRADA</v>
          </cell>
          <cell r="C200" t="str">
            <v>Tubo Cuadrado 40x 1,10</v>
          </cell>
          <cell r="D200">
            <v>1.3</v>
          </cell>
          <cell r="E200">
            <v>1.3</v>
          </cell>
          <cell r="F200">
            <v>17.100000000000001</v>
          </cell>
          <cell r="G200">
            <v>0</v>
          </cell>
        </row>
        <row r="201">
          <cell r="A201">
            <v>198</v>
          </cell>
          <cell r="B201" t="str">
            <v>ACEROPAXI TUBERIA MECANICA RECTANGULAR</v>
          </cell>
          <cell r="C201" t="str">
            <v>Tubo Rectangular 20x 40x 75</v>
          </cell>
          <cell r="D201">
            <v>0.69</v>
          </cell>
          <cell r="E201">
            <v>0.69</v>
          </cell>
          <cell r="F201">
            <v>21.3</v>
          </cell>
          <cell r="G201">
            <v>0</v>
          </cell>
        </row>
        <row r="202">
          <cell r="A202">
            <v>199</v>
          </cell>
          <cell r="B202" t="str">
            <v>ACEROPAXI TUBERIA MECANICA RECTANGULAR</v>
          </cell>
          <cell r="C202" t="str">
            <v>Tubo Rectangular 20x 40x 0,90</v>
          </cell>
          <cell r="D202">
            <v>0.85</v>
          </cell>
          <cell r="E202">
            <v>0.85</v>
          </cell>
          <cell r="F202">
            <v>26.7</v>
          </cell>
          <cell r="G202">
            <v>0</v>
          </cell>
        </row>
        <row r="203">
          <cell r="A203">
            <v>200</v>
          </cell>
          <cell r="B203" t="str">
            <v>ACEROPAXI TUBERIA MECANICA RECTANGULAR</v>
          </cell>
          <cell r="C203" t="str">
            <v>Tubo Rectangular 20x 40x 1,10</v>
          </cell>
          <cell r="D203">
            <v>1.04</v>
          </cell>
          <cell r="E203">
            <v>1.04</v>
          </cell>
          <cell r="F203">
            <v>33.4</v>
          </cell>
          <cell r="G203">
            <v>0</v>
          </cell>
        </row>
        <row r="204">
          <cell r="A204">
            <v>201</v>
          </cell>
          <cell r="B204" t="str">
            <v>ACEROPAXI TUBERIA MECANICA RECTANGULAR</v>
          </cell>
          <cell r="C204" t="str">
            <v>Tubo Rectangular 25x 50x 0,90</v>
          </cell>
          <cell r="D204">
            <v>1.07</v>
          </cell>
          <cell r="E204">
            <v>1.07</v>
          </cell>
          <cell r="F204">
            <v>42.2</v>
          </cell>
          <cell r="G204">
            <v>0</v>
          </cell>
        </row>
        <row r="205">
          <cell r="A205">
            <v>202</v>
          </cell>
          <cell r="B205" t="str">
            <v>ACEROPAXI TUBERIA MECANICA RECTANGULAR</v>
          </cell>
          <cell r="C205" t="str">
            <v>Tubo Rectangular 25x 50x 1,10</v>
          </cell>
          <cell r="D205">
            <v>1.3</v>
          </cell>
          <cell r="E205">
            <v>1.3</v>
          </cell>
          <cell r="F205">
            <v>48.3</v>
          </cell>
          <cell r="G205">
            <v>0</v>
          </cell>
        </row>
        <row r="206">
          <cell r="A206">
            <v>203</v>
          </cell>
          <cell r="B206" t="str">
            <v>ACEROPAXI TUBERIA MECANICA REDONDA</v>
          </cell>
          <cell r="C206" t="str">
            <v>Tubo Redondo 1/2" x 0,75</v>
          </cell>
          <cell r="D206">
            <v>0.24</v>
          </cell>
          <cell r="E206">
            <v>0.24</v>
          </cell>
          <cell r="F206">
            <v>60.3</v>
          </cell>
          <cell r="G206">
            <v>0</v>
          </cell>
        </row>
        <row r="207">
          <cell r="A207">
            <v>204</v>
          </cell>
          <cell r="B207" t="str">
            <v>ACEROPAXI TUBERIA MECANICA REDONDA</v>
          </cell>
          <cell r="C207" t="str">
            <v>Tubo Redondo 1/2" x 0,90</v>
          </cell>
          <cell r="D207">
            <v>0.28999999999999998</v>
          </cell>
          <cell r="E207">
            <v>0.28999999999999998</v>
          </cell>
          <cell r="F207">
            <v>73</v>
          </cell>
          <cell r="G207">
            <v>0</v>
          </cell>
        </row>
        <row r="208">
          <cell r="A208">
            <v>205</v>
          </cell>
          <cell r="B208" t="str">
            <v>ACEROPAXI TUBERIA MECANICA REDONDA</v>
          </cell>
          <cell r="C208" t="str">
            <v>Tubo Redondo 5/8" x 0,75</v>
          </cell>
          <cell r="D208">
            <v>0.28999999999999998</v>
          </cell>
          <cell r="E208">
            <v>0.28999999999999998</v>
          </cell>
          <cell r="F208">
            <v>88.899999999999991</v>
          </cell>
          <cell r="G208">
            <v>0</v>
          </cell>
        </row>
        <row r="209">
          <cell r="A209">
            <v>206</v>
          </cell>
          <cell r="B209" t="str">
            <v>ACEROPAXI TUBERIA MECANICA REDONDA</v>
          </cell>
          <cell r="C209" t="str">
            <v>Tubo Redondo 5/8" x 0,90</v>
          </cell>
          <cell r="D209">
            <v>0.34</v>
          </cell>
          <cell r="E209">
            <v>0.34</v>
          </cell>
          <cell r="F209">
            <v>114.3</v>
          </cell>
          <cell r="G209">
            <v>0</v>
          </cell>
        </row>
        <row r="210">
          <cell r="A210">
            <v>207</v>
          </cell>
          <cell r="B210" t="str">
            <v>ACEROPAXI TUBERIA MECANICA REDONDA</v>
          </cell>
          <cell r="C210" t="str">
            <v>Tubo Redondo 5/8" x 1,10</v>
          </cell>
          <cell r="D210">
            <v>0.41</v>
          </cell>
          <cell r="E210">
            <v>0.41</v>
          </cell>
          <cell r="F210">
            <v>168.3</v>
          </cell>
          <cell r="G210">
            <v>0</v>
          </cell>
        </row>
        <row r="211">
          <cell r="A211">
            <v>208</v>
          </cell>
          <cell r="B211" t="str">
            <v>ACEROPAXI TUBERIA MECANICA REDONDA</v>
          </cell>
          <cell r="C211" t="str">
            <v>Tubo Redondo 3/4" x 0,75</v>
          </cell>
          <cell r="D211">
            <v>0.35</v>
          </cell>
          <cell r="E211">
            <v>0.35</v>
          </cell>
          <cell r="F211">
            <v>15.875</v>
          </cell>
          <cell r="G211">
            <v>0</v>
          </cell>
        </row>
        <row r="212">
          <cell r="A212">
            <v>209</v>
          </cell>
          <cell r="B212" t="str">
            <v>ACEROPAXI TUBERIA MECANICA REDONDA</v>
          </cell>
          <cell r="C212" t="str">
            <v>Tubo Redondo 3/4" x 0,90</v>
          </cell>
          <cell r="D212">
            <v>0.41</v>
          </cell>
          <cell r="E212">
            <v>0.41</v>
          </cell>
          <cell r="F212">
            <v>19.05</v>
          </cell>
          <cell r="G212">
            <v>0</v>
          </cell>
        </row>
        <row r="213">
          <cell r="A213">
            <v>210</v>
          </cell>
          <cell r="B213" t="str">
            <v>ACEROPAXI TUBERIA MECANICA REDONDA</v>
          </cell>
          <cell r="C213" t="str">
            <v>Tubo Redondo 3/4" x 1,10</v>
          </cell>
          <cell r="D213">
            <v>0.5</v>
          </cell>
          <cell r="E213">
            <v>0.5</v>
          </cell>
          <cell r="F213">
            <v>19.05</v>
          </cell>
          <cell r="G213">
            <v>0</v>
          </cell>
        </row>
        <row r="214">
          <cell r="A214">
            <v>211</v>
          </cell>
          <cell r="B214" t="str">
            <v>ACEROPAXI TUBERIA MECANICA REDONDA</v>
          </cell>
          <cell r="C214" t="str">
            <v>Tubo Redondo 7/8" x 0,75</v>
          </cell>
          <cell r="D214">
            <v>0.41</v>
          </cell>
          <cell r="E214">
            <v>0.41</v>
          </cell>
          <cell r="F214">
            <v>22.22</v>
          </cell>
          <cell r="G214">
            <v>0</v>
          </cell>
        </row>
        <row r="215">
          <cell r="A215">
            <v>212</v>
          </cell>
          <cell r="B215" t="str">
            <v>ACEROPAXI TUBERIA MECANICA REDONDA</v>
          </cell>
          <cell r="C215" t="str">
            <v>Tubo Redondo 7/8" x 0,90</v>
          </cell>
          <cell r="D215">
            <v>0.49</v>
          </cell>
          <cell r="E215">
            <v>0.49</v>
          </cell>
          <cell r="F215">
            <v>22.22</v>
          </cell>
          <cell r="G215">
            <v>0</v>
          </cell>
        </row>
        <row r="216">
          <cell r="A216">
            <v>213</v>
          </cell>
          <cell r="B216" t="str">
            <v>ACEROPAXI TUBERIA MECANICA REDONDA</v>
          </cell>
          <cell r="C216" t="str">
            <v>Tubo Redondo 7/8" x 1,10</v>
          </cell>
          <cell r="D216">
            <v>0.57999999999999996</v>
          </cell>
          <cell r="E216">
            <v>0.57999999999999996</v>
          </cell>
          <cell r="F216">
            <v>25.4</v>
          </cell>
          <cell r="G216">
            <v>0</v>
          </cell>
        </row>
        <row r="217">
          <cell r="A217">
            <v>214</v>
          </cell>
          <cell r="B217" t="str">
            <v>ACEROPAXI TUBERIA MECANICA REDONDA</v>
          </cell>
          <cell r="C217" t="str">
            <v>Tubo Redondo 1" x 0,75</v>
          </cell>
          <cell r="D217">
            <v>0.46</v>
          </cell>
          <cell r="E217">
            <v>0.46</v>
          </cell>
          <cell r="F217">
            <v>25.4</v>
          </cell>
          <cell r="G217">
            <v>0</v>
          </cell>
        </row>
        <row r="218">
          <cell r="A218">
            <v>215</v>
          </cell>
          <cell r="B218" t="str">
            <v>ACEROPAXI TUBERIA MECANICA REDONDA</v>
          </cell>
          <cell r="C218" t="str">
            <v>Tubo Redondo 1" x 0,90</v>
          </cell>
          <cell r="D218">
            <v>0.56999999999999995</v>
          </cell>
          <cell r="E218">
            <v>0.56999999999999995</v>
          </cell>
          <cell r="F218">
            <v>31.75</v>
          </cell>
          <cell r="G218">
            <v>0</v>
          </cell>
        </row>
        <row r="219">
          <cell r="A219">
            <v>216</v>
          </cell>
          <cell r="B219" t="str">
            <v>ACEROPAXI TUBERIA MECANICA REDONDA</v>
          </cell>
          <cell r="C219" t="str">
            <v>Tubo Redondo 1" x 1,10</v>
          </cell>
          <cell r="D219">
            <v>0.7</v>
          </cell>
          <cell r="E219">
            <v>0.7</v>
          </cell>
          <cell r="F219">
            <v>31.75</v>
          </cell>
          <cell r="G219">
            <v>0</v>
          </cell>
        </row>
        <row r="220">
          <cell r="A220">
            <v>217</v>
          </cell>
          <cell r="B220" t="str">
            <v>ACEROPAXI TUBERIA MECANICA REDONDA</v>
          </cell>
          <cell r="C220" t="str">
            <v>Tubo Redondo 1 1/4" x 0,90</v>
          </cell>
          <cell r="D220">
            <v>0.72</v>
          </cell>
          <cell r="E220">
            <v>0.72</v>
          </cell>
          <cell r="F220">
            <v>38.1</v>
          </cell>
          <cell r="G220">
            <v>0</v>
          </cell>
        </row>
        <row r="221">
          <cell r="A221">
            <v>218</v>
          </cell>
          <cell r="B221" t="str">
            <v>ACEROPAXI TUBERIA MECANICA REDONDA</v>
          </cell>
          <cell r="C221" t="str">
            <v>Tubo Redondo 1 1/4" x 1,10</v>
          </cell>
          <cell r="D221">
            <v>0.88</v>
          </cell>
          <cell r="E221">
            <v>0.88</v>
          </cell>
          <cell r="F221">
            <v>38.1</v>
          </cell>
          <cell r="G221">
            <v>0</v>
          </cell>
        </row>
        <row r="222">
          <cell r="A222">
            <v>219</v>
          </cell>
          <cell r="B222" t="str">
            <v>ACEROPAXI TUBERIA MECANICA REDONDA</v>
          </cell>
          <cell r="C222" t="str">
            <v>Tubo Redondo 1 1/2" x 0,90</v>
          </cell>
          <cell r="D222">
            <v>0.85</v>
          </cell>
          <cell r="E222">
            <v>0.85</v>
          </cell>
          <cell r="F222">
            <v>44.45</v>
          </cell>
          <cell r="G222">
            <v>0</v>
          </cell>
        </row>
        <row r="223">
          <cell r="A223">
            <v>220</v>
          </cell>
          <cell r="B223" t="str">
            <v>ACEROPAXI TUBERIA MECANICA REDONDA</v>
          </cell>
          <cell r="C223" t="str">
            <v>Tubo Redondo 1 1/2" x 1,10</v>
          </cell>
          <cell r="D223">
            <v>1.04</v>
          </cell>
          <cell r="E223">
            <v>1.04</v>
          </cell>
          <cell r="F223">
            <v>44.45</v>
          </cell>
          <cell r="G223">
            <v>0</v>
          </cell>
        </row>
        <row r="224">
          <cell r="A224">
            <v>221</v>
          </cell>
          <cell r="B224" t="str">
            <v>ACEROPAXI TUBERIA MECANICA REDONDA</v>
          </cell>
          <cell r="C224" t="str">
            <v>Tubo Redondo 1 3/4" x 0,90</v>
          </cell>
          <cell r="D224">
            <v>0.97</v>
          </cell>
          <cell r="E224">
            <v>0.97</v>
          </cell>
          <cell r="F224">
            <v>47.63</v>
          </cell>
          <cell r="G224">
            <v>0</v>
          </cell>
        </row>
        <row r="225">
          <cell r="A225">
            <v>222</v>
          </cell>
          <cell r="B225" t="str">
            <v>ACEROPAXI TUBERIA MECANICA REDONDA</v>
          </cell>
          <cell r="C225" t="str">
            <v>Tubo Redondo 1 3/4" x 1,10</v>
          </cell>
          <cell r="D225">
            <v>1.18</v>
          </cell>
          <cell r="E225">
            <v>1.18</v>
          </cell>
          <cell r="F225">
            <v>47.63</v>
          </cell>
          <cell r="G225">
            <v>0</v>
          </cell>
        </row>
        <row r="226">
          <cell r="A226">
            <v>223</v>
          </cell>
          <cell r="B226" t="str">
            <v>ACEROPAXI TUBERIA MECANICA REDONDA</v>
          </cell>
          <cell r="C226" t="str">
            <v>Tubo Redondo 1 7/8" x 0,90</v>
          </cell>
          <cell r="D226">
            <v>1.07</v>
          </cell>
          <cell r="E226">
            <v>1.07</v>
          </cell>
          <cell r="F226">
            <v>50.8</v>
          </cell>
          <cell r="G226">
            <v>0</v>
          </cell>
        </row>
        <row r="227">
          <cell r="A227">
            <v>224</v>
          </cell>
          <cell r="B227" t="str">
            <v>ACEROPAXI TUBERIA MECANICA REDONDA</v>
          </cell>
          <cell r="C227" t="str">
            <v>Tubo Redondo 1 7/8" x 1,10</v>
          </cell>
          <cell r="D227">
            <v>1.3</v>
          </cell>
          <cell r="E227">
            <v>1.3</v>
          </cell>
          <cell r="F227">
            <v>50.8</v>
          </cell>
          <cell r="G227">
            <v>0</v>
          </cell>
        </row>
        <row r="228">
          <cell r="A228">
            <v>225</v>
          </cell>
          <cell r="B228" t="str">
            <v>ACEROPAXI TUBERIA MECANICA REDONDA</v>
          </cell>
          <cell r="C228" t="str">
            <v>Tubo Redondo 2" x 0,90</v>
          </cell>
          <cell r="D228">
            <v>1.1399999999999999</v>
          </cell>
          <cell r="E228">
            <v>1.1399999999999999</v>
          </cell>
          <cell r="F228">
            <v>50.8</v>
          </cell>
          <cell r="G228">
            <v>0</v>
          </cell>
        </row>
        <row r="229">
          <cell r="A229">
            <v>226</v>
          </cell>
          <cell r="B229" t="str">
            <v>ACEROPAXI TUBERIA MECANICA REDONDA</v>
          </cell>
          <cell r="C229" t="str">
            <v>Tubo Redondo 2" x 1,10</v>
          </cell>
          <cell r="D229">
            <v>1.39</v>
          </cell>
          <cell r="E229">
            <v>1.39</v>
          </cell>
          <cell r="F229">
            <v>60.33</v>
          </cell>
          <cell r="G229">
            <v>0</v>
          </cell>
        </row>
        <row r="230">
          <cell r="A230">
            <v>227</v>
          </cell>
          <cell r="B230" t="str">
            <v>ACEROPAXI VARILLA CUAD</v>
          </cell>
          <cell r="C230" t="str">
            <v>Varilla Cuadrada BC 9</v>
          </cell>
          <cell r="D230">
            <v>0.64</v>
          </cell>
          <cell r="E230">
            <v>0.64</v>
          </cell>
          <cell r="F230">
            <v>60.33</v>
          </cell>
          <cell r="G230">
            <v>0</v>
          </cell>
        </row>
        <row r="231">
          <cell r="A231">
            <v>228</v>
          </cell>
          <cell r="B231" t="str">
            <v>ACEROPAXI VARILLA CUAD</v>
          </cell>
          <cell r="C231" t="str">
            <v>Varilla Cuadrada BC 11</v>
          </cell>
          <cell r="D231">
            <v>0.95</v>
          </cell>
          <cell r="E231">
            <v>0.95</v>
          </cell>
          <cell r="F231">
            <v>60.33</v>
          </cell>
          <cell r="G231">
            <v>0</v>
          </cell>
        </row>
        <row r="232">
          <cell r="A232">
            <v>229</v>
          </cell>
          <cell r="B232" t="str">
            <v>ACEROPAXI VARILLA CUAD</v>
          </cell>
          <cell r="C232" t="str">
            <v>Varilla Cuadrada BC 15</v>
          </cell>
          <cell r="D232">
            <v>1.77</v>
          </cell>
          <cell r="E232">
            <v>1.77</v>
          </cell>
          <cell r="F232">
            <v>63.5</v>
          </cell>
          <cell r="G232">
            <v>0</v>
          </cell>
        </row>
        <row r="233">
          <cell r="A233">
            <v>230</v>
          </cell>
          <cell r="B233" t="str">
            <v>ACEROPAXI VARILLA CUAD</v>
          </cell>
          <cell r="C233" t="str">
            <v>Varilla Cuadrada BC 18</v>
          </cell>
          <cell r="D233">
            <v>2.54</v>
          </cell>
          <cell r="E233">
            <v>2.54</v>
          </cell>
          <cell r="F233">
            <v>63.5</v>
          </cell>
          <cell r="G233">
            <v>0</v>
          </cell>
        </row>
        <row r="234">
          <cell r="A234">
            <v>231</v>
          </cell>
          <cell r="B234" t="str">
            <v>ACEROPAXI VARILLA CUAD</v>
          </cell>
          <cell r="C234" t="str">
            <v>Varilla Cuadrada BC 24,5</v>
          </cell>
          <cell r="D234">
            <v>4.72</v>
          </cell>
          <cell r="E234">
            <v>4.72</v>
          </cell>
          <cell r="F234">
            <v>63.5</v>
          </cell>
          <cell r="G234">
            <v>0</v>
          </cell>
        </row>
        <row r="235">
          <cell r="A235">
            <v>232</v>
          </cell>
          <cell r="B235" t="str">
            <v>ACEROPAXI VARILLA RED</v>
          </cell>
          <cell r="C235" t="str">
            <v>Varilla Redonda BR 10</v>
          </cell>
          <cell r="D235">
            <v>0.62</v>
          </cell>
          <cell r="E235">
            <v>0.62</v>
          </cell>
          <cell r="F235">
            <v>76.2</v>
          </cell>
          <cell r="G235">
            <v>0</v>
          </cell>
        </row>
        <row r="236">
          <cell r="A236">
            <v>233</v>
          </cell>
          <cell r="B236" t="str">
            <v>ACEROPAXI VARILLA RED</v>
          </cell>
          <cell r="C236" t="str">
            <v>Varilla Redonda BR 12</v>
          </cell>
          <cell r="D236">
            <v>0.89</v>
          </cell>
          <cell r="E236">
            <v>0.89</v>
          </cell>
          <cell r="F236">
            <v>76.2</v>
          </cell>
          <cell r="G236">
            <v>0</v>
          </cell>
        </row>
        <row r="237">
          <cell r="A237">
            <v>234</v>
          </cell>
          <cell r="B237" t="str">
            <v>ACEROPAXI VARILLA RED</v>
          </cell>
          <cell r="C237" t="str">
            <v>Varilla Redonda BR 15</v>
          </cell>
          <cell r="D237">
            <v>1.39</v>
          </cell>
          <cell r="E237">
            <v>1.39</v>
          </cell>
          <cell r="F237">
            <v>76.2</v>
          </cell>
          <cell r="G237">
            <v>0</v>
          </cell>
        </row>
        <row r="238">
          <cell r="A238">
            <v>235</v>
          </cell>
          <cell r="B238" t="str">
            <v>ACEROPAXI VARILLA RED</v>
          </cell>
          <cell r="C238" t="str">
            <v>Varilla Redonda BR 18</v>
          </cell>
          <cell r="D238">
            <v>2</v>
          </cell>
          <cell r="E238">
            <v>2</v>
          </cell>
          <cell r="F238">
            <v>101.6</v>
          </cell>
          <cell r="G238">
            <v>0</v>
          </cell>
        </row>
        <row r="239">
          <cell r="A239">
            <v>236</v>
          </cell>
          <cell r="B239" t="str">
            <v>ACEROPAXI VARILLA RED</v>
          </cell>
          <cell r="C239" t="str">
            <v>Varilla Redonda BR 22</v>
          </cell>
          <cell r="D239">
            <v>2.98</v>
          </cell>
          <cell r="E239">
            <v>2.98</v>
          </cell>
          <cell r="F239">
            <v>101.6</v>
          </cell>
          <cell r="G239">
            <v>0</v>
          </cell>
        </row>
        <row r="240">
          <cell r="A240">
            <v>237</v>
          </cell>
          <cell r="B240" t="str">
            <v>ACEROPAXI VARILLA RED</v>
          </cell>
          <cell r="C240" t="str">
            <v>Varilla Redonda BR 24.5</v>
          </cell>
          <cell r="D240">
            <v>3.7</v>
          </cell>
          <cell r="E240">
            <v>3.7</v>
          </cell>
          <cell r="F240">
            <v>101.6</v>
          </cell>
          <cell r="G240">
            <v>0</v>
          </cell>
        </row>
        <row r="241">
          <cell r="A241">
            <v>238</v>
          </cell>
          <cell r="B241" t="str">
            <v>LAMINADOS HEA</v>
          </cell>
          <cell r="C241" t="str">
            <v>Perfiles HEA  100</v>
          </cell>
          <cell r="D241">
            <v>16.7</v>
          </cell>
          <cell r="E241">
            <v>16.7</v>
          </cell>
          <cell r="F241">
            <v>127</v>
          </cell>
          <cell r="G241">
            <v>0</v>
          </cell>
        </row>
        <row r="242">
          <cell r="A242">
            <v>239</v>
          </cell>
          <cell r="B242" t="str">
            <v>LAMINADOS HEA</v>
          </cell>
          <cell r="C242" t="str">
            <v>Perfiles HEA  120</v>
          </cell>
          <cell r="D242">
            <v>19.899999999999999</v>
          </cell>
          <cell r="E242">
            <v>19.899999999999999</v>
          </cell>
          <cell r="F242">
            <v>127</v>
          </cell>
          <cell r="G242">
            <v>0</v>
          </cell>
        </row>
        <row r="243">
          <cell r="A243">
            <v>240</v>
          </cell>
          <cell r="B243" t="str">
            <v>LAMINADOS HEA</v>
          </cell>
          <cell r="C243" t="str">
            <v>Perfiles HEA  140</v>
          </cell>
          <cell r="D243">
            <v>24.7</v>
          </cell>
          <cell r="E243">
            <v>24.7</v>
          </cell>
          <cell r="F243">
            <v>152.4</v>
          </cell>
          <cell r="G243">
            <v>0</v>
          </cell>
        </row>
        <row r="244">
          <cell r="A244">
            <v>241</v>
          </cell>
          <cell r="B244" t="str">
            <v>LAMINADOS HEA</v>
          </cell>
          <cell r="C244" t="str">
            <v>Perfiles HEA  160</v>
          </cell>
          <cell r="D244">
            <v>30.4</v>
          </cell>
          <cell r="E244">
            <v>30.4</v>
          </cell>
          <cell r="F244">
            <v>152.4</v>
          </cell>
          <cell r="G244">
            <v>0</v>
          </cell>
        </row>
        <row r="245">
          <cell r="A245">
            <v>242</v>
          </cell>
          <cell r="B245" t="str">
            <v>LAMINADOS HEA</v>
          </cell>
          <cell r="C245" t="str">
            <v>Perfiles HEA  180</v>
          </cell>
          <cell r="D245">
            <v>35.5</v>
          </cell>
          <cell r="E245">
            <v>35.5</v>
          </cell>
          <cell r="F245">
            <v>21.35</v>
          </cell>
          <cell r="G245">
            <v>0</v>
          </cell>
        </row>
        <row r="246">
          <cell r="A246">
            <v>243</v>
          </cell>
          <cell r="B246" t="str">
            <v>LAMINADOS HEA</v>
          </cell>
          <cell r="C246" t="str">
            <v>Perfiles HEA  200</v>
          </cell>
          <cell r="D246">
            <v>42.3</v>
          </cell>
          <cell r="E246">
            <v>42.3</v>
          </cell>
          <cell r="F246">
            <v>26.75</v>
          </cell>
          <cell r="G246">
            <v>0</v>
          </cell>
        </row>
        <row r="247">
          <cell r="A247">
            <v>244</v>
          </cell>
          <cell r="B247" t="str">
            <v>LAMINADOS HEA</v>
          </cell>
          <cell r="C247" t="str">
            <v>Perfiles HEA  220</v>
          </cell>
          <cell r="D247">
            <v>50.5</v>
          </cell>
          <cell r="E247">
            <v>50.5</v>
          </cell>
          <cell r="F247">
            <v>33.6</v>
          </cell>
          <cell r="G247">
            <v>0</v>
          </cell>
        </row>
        <row r="248">
          <cell r="A248">
            <v>245</v>
          </cell>
          <cell r="B248" t="str">
            <v>LAMINADOS HEA</v>
          </cell>
          <cell r="C248" t="str">
            <v>Perfiles HEA  240</v>
          </cell>
          <cell r="D248">
            <v>60.3</v>
          </cell>
          <cell r="E248">
            <v>60.3</v>
          </cell>
          <cell r="F248">
            <v>42.3</v>
          </cell>
          <cell r="G248">
            <v>0</v>
          </cell>
        </row>
        <row r="249">
          <cell r="A249">
            <v>246</v>
          </cell>
          <cell r="B249" t="str">
            <v>LAMINADOS HEA</v>
          </cell>
          <cell r="C249" t="str">
            <v>Perfiles HEA  260</v>
          </cell>
          <cell r="D249">
            <v>68.2</v>
          </cell>
          <cell r="E249">
            <v>68.2</v>
          </cell>
          <cell r="F249">
            <v>48.2</v>
          </cell>
          <cell r="G249">
            <v>0</v>
          </cell>
        </row>
        <row r="250">
          <cell r="A250">
            <v>247</v>
          </cell>
          <cell r="B250" t="str">
            <v>LAMINADOS HEA</v>
          </cell>
          <cell r="C250" t="str">
            <v>Perfiles HEA  280</v>
          </cell>
          <cell r="D250">
            <v>76.400000000000006</v>
          </cell>
          <cell r="E250">
            <v>76.400000000000006</v>
          </cell>
          <cell r="F250">
            <v>60.15</v>
          </cell>
          <cell r="G250">
            <v>0</v>
          </cell>
        </row>
        <row r="251">
          <cell r="A251">
            <v>248</v>
          </cell>
          <cell r="B251" t="str">
            <v>LAMINADOS HEA</v>
          </cell>
          <cell r="C251" t="str">
            <v>Perfiles HEA  300</v>
          </cell>
          <cell r="D251">
            <v>88.3</v>
          </cell>
          <cell r="E251">
            <v>88.3</v>
          </cell>
          <cell r="F251">
            <v>75.75</v>
          </cell>
          <cell r="G251">
            <v>0</v>
          </cell>
        </row>
        <row r="252">
          <cell r="A252">
            <v>249</v>
          </cell>
          <cell r="B252" t="str">
            <v>LAMINADOS HEA</v>
          </cell>
          <cell r="C252" t="str">
            <v>Perfiles HEA  320</v>
          </cell>
          <cell r="D252">
            <v>97.6</v>
          </cell>
          <cell r="E252">
            <v>97.6</v>
          </cell>
          <cell r="F252">
            <v>88.7</v>
          </cell>
          <cell r="G252">
            <v>0</v>
          </cell>
        </row>
        <row r="253">
          <cell r="A253">
            <v>250</v>
          </cell>
          <cell r="B253" t="str">
            <v>LAMINADOS HEA</v>
          </cell>
          <cell r="C253" t="str">
            <v>Perfiles HEA  340</v>
          </cell>
          <cell r="D253">
            <v>105</v>
          </cell>
          <cell r="E253">
            <v>105</v>
          </cell>
          <cell r="F253">
            <v>113.3</v>
          </cell>
          <cell r="G253">
            <v>0</v>
          </cell>
        </row>
        <row r="254">
          <cell r="A254">
            <v>251</v>
          </cell>
          <cell r="B254" t="str">
            <v>LAMINADOS HEA</v>
          </cell>
          <cell r="C254" t="str">
            <v>Perfiles HEA  360</v>
          </cell>
          <cell r="D254">
            <v>112</v>
          </cell>
          <cell r="E254">
            <v>112</v>
          </cell>
          <cell r="F254">
            <v>16.899999999999999</v>
          </cell>
          <cell r="G254">
            <v>0</v>
          </cell>
        </row>
        <row r="255">
          <cell r="A255">
            <v>252</v>
          </cell>
          <cell r="B255" t="str">
            <v>LAMINADOS HEA</v>
          </cell>
          <cell r="C255" t="str">
            <v>Perfiles HEA  400</v>
          </cell>
          <cell r="D255">
            <v>125</v>
          </cell>
          <cell r="E255">
            <v>125</v>
          </cell>
          <cell r="F255">
            <v>21.2</v>
          </cell>
          <cell r="G255">
            <v>0</v>
          </cell>
        </row>
        <row r="256">
          <cell r="A256">
            <v>253</v>
          </cell>
          <cell r="B256" t="str">
            <v>LAMINADOS HEA</v>
          </cell>
          <cell r="C256" t="str">
            <v>Perfiles HEA  450</v>
          </cell>
          <cell r="D256">
            <v>140</v>
          </cell>
          <cell r="E256">
            <v>140</v>
          </cell>
          <cell r="F256">
            <v>26.7</v>
          </cell>
          <cell r="G256">
            <v>0</v>
          </cell>
        </row>
        <row r="257">
          <cell r="A257">
            <v>254</v>
          </cell>
          <cell r="B257" t="str">
            <v>LAMINADOS HEA</v>
          </cell>
          <cell r="C257" t="str">
            <v>Perfiles HEA  500</v>
          </cell>
          <cell r="D257">
            <v>155</v>
          </cell>
          <cell r="E257">
            <v>155</v>
          </cell>
          <cell r="F257">
            <v>33.700000000000003</v>
          </cell>
          <cell r="G257">
            <v>0</v>
          </cell>
        </row>
        <row r="258">
          <cell r="A258">
            <v>255</v>
          </cell>
          <cell r="B258" t="str">
            <v>LAMINADOS HEA</v>
          </cell>
          <cell r="C258" t="str">
            <v>Perfiles HEA  550</v>
          </cell>
          <cell r="D258">
            <v>166</v>
          </cell>
          <cell r="E258">
            <v>166</v>
          </cell>
          <cell r="F258">
            <v>42.2</v>
          </cell>
          <cell r="G258">
            <v>0</v>
          </cell>
        </row>
        <row r="259">
          <cell r="A259">
            <v>256</v>
          </cell>
          <cell r="B259" t="str">
            <v>LAMINADOS HEA</v>
          </cell>
          <cell r="C259" t="str">
            <v>Perfiles HEA  600</v>
          </cell>
          <cell r="D259">
            <v>178</v>
          </cell>
          <cell r="E259">
            <v>178</v>
          </cell>
          <cell r="F259">
            <v>48.3</v>
          </cell>
          <cell r="G259">
            <v>0</v>
          </cell>
        </row>
        <row r="260">
          <cell r="A260">
            <v>257</v>
          </cell>
          <cell r="B260" t="str">
            <v>LAMINADOS HEB</v>
          </cell>
          <cell r="C260" t="str">
            <v>Perfiles HEB 100</v>
          </cell>
          <cell r="D260">
            <v>20.399999999999999</v>
          </cell>
          <cell r="E260">
            <v>20.399999999999999</v>
          </cell>
          <cell r="F260">
            <v>60.3</v>
          </cell>
          <cell r="G260">
            <v>0</v>
          </cell>
        </row>
        <row r="261">
          <cell r="A261">
            <v>258</v>
          </cell>
          <cell r="B261" t="str">
            <v>LAMINADOS HEB</v>
          </cell>
          <cell r="C261" t="str">
            <v>Perfiles HEB 120</v>
          </cell>
          <cell r="D261">
            <v>26.7</v>
          </cell>
          <cell r="E261">
            <v>26.7</v>
          </cell>
          <cell r="F261">
            <v>76.099999999999994</v>
          </cell>
          <cell r="G261">
            <v>0</v>
          </cell>
        </row>
        <row r="262">
          <cell r="A262">
            <v>259</v>
          </cell>
          <cell r="B262" t="str">
            <v>LAMINADOS HEB</v>
          </cell>
          <cell r="C262" t="str">
            <v>Perfiles HEB 140</v>
          </cell>
          <cell r="D262">
            <v>33.700000000000003</v>
          </cell>
          <cell r="E262">
            <v>33.700000000000003</v>
          </cell>
          <cell r="F262">
            <v>88.7</v>
          </cell>
          <cell r="G262">
            <v>0</v>
          </cell>
        </row>
        <row r="263">
          <cell r="A263">
            <v>260</v>
          </cell>
          <cell r="B263" t="str">
            <v>LAMINADOS HEB</v>
          </cell>
          <cell r="C263" t="str">
            <v>Perfiles HEB 160</v>
          </cell>
          <cell r="D263">
            <v>42.6</v>
          </cell>
          <cell r="E263">
            <v>42.6</v>
          </cell>
          <cell r="F263">
            <v>113.3</v>
          </cell>
          <cell r="G263">
            <v>0</v>
          </cell>
        </row>
        <row r="264">
          <cell r="A264">
            <v>261</v>
          </cell>
          <cell r="B264" t="str">
            <v>LAMINADOS HEB</v>
          </cell>
          <cell r="C264" t="str">
            <v>Perfiles HEB 180</v>
          </cell>
          <cell r="D264">
            <v>51.2</v>
          </cell>
          <cell r="E264">
            <v>51.2</v>
          </cell>
          <cell r="F264">
            <v>20</v>
          </cell>
          <cell r="G264">
            <v>0</v>
          </cell>
        </row>
        <row r="265">
          <cell r="A265">
            <v>262</v>
          </cell>
          <cell r="B265" t="str">
            <v>LAMINADOS HEB</v>
          </cell>
          <cell r="C265" t="str">
            <v>Perfiles HEB 200</v>
          </cell>
          <cell r="D265">
            <v>61.3</v>
          </cell>
          <cell r="E265">
            <v>61.3</v>
          </cell>
          <cell r="F265">
            <v>20</v>
          </cell>
          <cell r="G265">
            <v>0</v>
          </cell>
        </row>
        <row r="266">
          <cell r="A266">
            <v>263</v>
          </cell>
          <cell r="B266" t="str">
            <v>LAMINADOS HEB</v>
          </cell>
          <cell r="C266" t="str">
            <v>Perfiles HEB 220</v>
          </cell>
          <cell r="D266">
            <v>71.5</v>
          </cell>
          <cell r="E266">
            <v>71.5</v>
          </cell>
          <cell r="F266">
            <v>20</v>
          </cell>
          <cell r="G266">
            <v>0</v>
          </cell>
        </row>
        <row r="267">
          <cell r="A267">
            <v>264</v>
          </cell>
          <cell r="B267" t="str">
            <v>LAMINADOS HEB</v>
          </cell>
          <cell r="C267" t="str">
            <v>Perfiles HEB 240</v>
          </cell>
          <cell r="D267">
            <v>83.2</v>
          </cell>
          <cell r="E267">
            <v>83.2</v>
          </cell>
          <cell r="F267">
            <v>25</v>
          </cell>
          <cell r="G267">
            <v>0</v>
          </cell>
        </row>
        <row r="268">
          <cell r="A268">
            <v>265</v>
          </cell>
          <cell r="B268" t="str">
            <v>LAMINADOS HEB</v>
          </cell>
          <cell r="C268" t="str">
            <v>Perfiles HEB 260</v>
          </cell>
          <cell r="D268">
            <v>93</v>
          </cell>
          <cell r="E268">
            <v>93</v>
          </cell>
          <cell r="F268">
            <v>25</v>
          </cell>
          <cell r="G268">
            <v>0</v>
          </cell>
        </row>
        <row r="269">
          <cell r="A269">
            <v>266</v>
          </cell>
          <cell r="B269" t="str">
            <v>LAMINADOS HEB</v>
          </cell>
          <cell r="C269" t="str">
            <v>Perfiles HEB 280</v>
          </cell>
          <cell r="D269">
            <v>103</v>
          </cell>
          <cell r="E269">
            <v>103</v>
          </cell>
          <cell r="F269">
            <v>25</v>
          </cell>
          <cell r="G269">
            <v>0</v>
          </cell>
        </row>
        <row r="270">
          <cell r="A270">
            <v>267</v>
          </cell>
          <cell r="B270" t="str">
            <v>LAMINADOS HEB</v>
          </cell>
          <cell r="C270" t="str">
            <v>Perfiles HEB 300</v>
          </cell>
          <cell r="D270">
            <v>117</v>
          </cell>
          <cell r="E270">
            <v>117</v>
          </cell>
          <cell r="F270">
            <v>30</v>
          </cell>
          <cell r="G270">
            <v>0</v>
          </cell>
        </row>
        <row r="271">
          <cell r="A271">
            <v>268</v>
          </cell>
          <cell r="B271" t="str">
            <v>LAMINADOS HEB</v>
          </cell>
          <cell r="C271" t="str">
            <v>Perfiles HEB 320</v>
          </cell>
          <cell r="D271">
            <v>127</v>
          </cell>
          <cell r="E271">
            <v>127</v>
          </cell>
          <cell r="F271">
            <v>30</v>
          </cell>
          <cell r="G271">
            <v>0</v>
          </cell>
        </row>
        <row r="272">
          <cell r="A272">
            <v>269</v>
          </cell>
          <cell r="B272" t="str">
            <v>LAMINADOS HEB</v>
          </cell>
          <cell r="C272" t="str">
            <v>Perfiles HEB 340</v>
          </cell>
          <cell r="D272">
            <v>134</v>
          </cell>
          <cell r="E272">
            <v>134</v>
          </cell>
          <cell r="F272">
            <v>30</v>
          </cell>
          <cell r="G272">
            <v>0</v>
          </cell>
        </row>
        <row r="273">
          <cell r="A273">
            <v>270</v>
          </cell>
          <cell r="B273" t="str">
            <v>LAMINADOS HEB</v>
          </cell>
          <cell r="C273" t="str">
            <v>Perfiles HEB 360</v>
          </cell>
          <cell r="D273">
            <v>142</v>
          </cell>
          <cell r="E273">
            <v>142</v>
          </cell>
          <cell r="F273">
            <v>40</v>
          </cell>
          <cell r="G273">
            <v>0</v>
          </cell>
        </row>
        <row r="274">
          <cell r="A274">
            <v>271</v>
          </cell>
          <cell r="B274" t="str">
            <v>LAMINADOS HEB</v>
          </cell>
          <cell r="C274" t="str">
            <v>Perfiles HEB 400</v>
          </cell>
          <cell r="D274">
            <v>155</v>
          </cell>
          <cell r="E274">
            <v>155</v>
          </cell>
          <cell r="F274">
            <v>40</v>
          </cell>
          <cell r="G274">
            <v>0</v>
          </cell>
        </row>
        <row r="275">
          <cell r="A275">
            <v>272</v>
          </cell>
          <cell r="B275" t="str">
            <v>LAMINADOS HEB</v>
          </cell>
          <cell r="C275" t="str">
            <v>Perfiles HEB 450</v>
          </cell>
          <cell r="D275">
            <v>171</v>
          </cell>
          <cell r="E275">
            <v>171</v>
          </cell>
          <cell r="F275">
            <v>40</v>
          </cell>
          <cell r="G275">
            <v>0</v>
          </cell>
        </row>
        <row r="276">
          <cell r="A276">
            <v>273</v>
          </cell>
          <cell r="B276" t="str">
            <v>LAMINADOS HEB</v>
          </cell>
          <cell r="C276" t="str">
            <v>Perfiles HEB 500</v>
          </cell>
          <cell r="D276">
            <v>187</v>
          </cell>
          <cell r="E276">
            <v>187</v>
          </cell>
          <cell r="F276">
            <v>40</v>
          </cell>
          <cell r="G276">
            <v>0</v>
          </cell>
        </row>
        <row r="277">
          <cell r="A277">
            <v>274</v>
          </cell>
          <cell r="B277" t="str">
            <v>LAMINADOS HEB</v>
          </cell>
          <cell r="C277" t="str">
            <v>Perfiles HEB 550</v>
          </cell>
          <cell r="D277">
            <v>199</v>
          </cell>
          <cell r="E277">
            <v>199</v>
          </cell>
          <cell r="F277">
            <v>50</v>
          </cell>
          <cell r="G277">
            <v>0</v>
          </cell>
        </row>
        <row r="278">
          <cell r="A278">
            <v>275</v>
          </cell>
          <cell r="B278" t="str">
            <v>LAMINADOS HEB</v>
          </cell>
          <cell r="C278" t="str">
            <v>Perfiles HEB 600</v>
          </cell>
          <cell r="D278">
            <v>212</v>
          </cell>
          <cell r="E278">
            <v>212</v>
          </cell>
          <cell r="F278">
            <v>50</v>
          </cell>
          <cell r="G278">
            <v>0</v>
          </cell>
        </row>
        <row r="279">
          <cell r="A279">
            <v>276</v>
          </cell>
          <cell r="B279" t="str">
            <v>LAMINADOS IPE</v>
          </cell>
          <cell r="C279" t="str">
            <v>Perfiles IPE 80</v>
          </cell>
          <cell r="D279">
            <v>6</v>
          </cell>
          <cell r="E279">
            <v>6</v>
          </cell>
          <cell r="F279">
            <v>50</v>
          </cell>
          <cell r="G279">
            <v>0</v>
          </cell>
        </row>
        <row r="280">
          <cell r="A280">
            <v>277</v>
          </cell>
          <cell r="B280" t="str">
            <v>LAMINADOS IPE</v>
          </cell>
          <cell r="C280" t="str">
            <v>Perfiles IPE 100</v>
          </cell>
          <cell r="D280">
            <v>8.1</v>
          </cell>
          <cell r="E280">
            <v>8.1</v>
          </cell>
          <cell r="F280">
            <v>60</v>
          </cell>
          <cell r="G280">
            <v>0</v>
          </cell>
        </row>
        <row r="281">
          <cell r="A281">
            <v>278</v>
          </cell>
          <cell r="B281" t="str">
            <v>LAMINADOS IPE</v>
          </cell>
          <cell r="C281" t="str">
            <v>Perfiles IPE 120</v>
          </cell>
          <cell r="D281">
            <v>10.4</v>
          </cell>
          <cell r="E281">
            <v>10.4</v>
          </cell>
          <cell r="F281">
            <v>60</v>
          </cell>
          <cell r="G281">
            <v>0</v>
          </cell>
        </row>
        <row r="282">
          <cell r="A282">
            <v>279</v>
          </cell>
          <cell r="B282" t="str">
            <v>LAMINADOS IPE</v>
          </cell>
          <cell r="C282" t="str">
            <v>Perfiles IPE 140</v>
          </cell>
          <cell r="D282">
            <v>12.9</v>
          </cell>
          <cell r="E282">
            <v>12.9</v>
          </cell>
          <cell r="F282">
            <v>60</v>
          </cell>
          <cell r="G282">
            <v>0</v>
          </cell>
        </row>
        <row r="283">
          <cell r="A283">
            <v>280</v>
          </cell>
          <cell r="B283" t="str">
            <v>LAMINADOS IPE</v>
          </cell>
          <cell r="C283" t="str">
            <v>Perfiles IPE 160</v>
          </cell>
          <cell r="D283">
            <v>15.8</v>
          </cell>
          <cell r="E283">
            <v>15.8</v>
          </cell>
          <cell r="F283">
            <v>75</v>
          </cell>
          <cell r="G283">
            <v>0</v>
          </cell>
        </row>
        <row r="284">
          <cell r="A284">
            <v>281</v>
          </cell>
          <cell r="B284" t="str">
            <v>LAMINADOS IPE</v>
          </cell>
          <cell r="C284" t="str">
            <v>Perfiles IPE 180</v>
          </cell>
          <cell r="D284">
            <v>18.8</v>
          </cell>
          <cell r="E284">
            <v>18.8</v>
          </cell>
          <cell r="F284">
            <v>75</v>
          </cell>
          <cell r="G284">
            <v>0</v>
          </cell>
        </row>
        <row r="285">
          <cell r="A285">
            <v>282</v>
          </cell>
          <cell r="B285" t="str">
            <v>LAMINADOS IPE</v>
          </cell>
          <cell r="C285" t="str">
            <v>Perfiles IPE 200</v>
          </cell>
          <cell r="D285">
            <v>22.4</v>
          </cell>
          <cell r="E285">
            <v>22.4</v>
          </cell>
          <cell r="F285">
            <v>75</v>
          </cell>
          <cell r="G285">
            <v>0</v>
          </cell>
        </row>
        <row r="286">
          <cell r="A286">
            <v>283</v>
          </cell>
          <cell r="B286" t="str">
            <v>LAMINADOS IPE</v>
          </cell>
          <cell r="C286" t="str">
            <v>Perfiles IPE 220</v>
          </cell>
          <cell r="D286">
            <v>26.2</v>
          </cell>
          <cell r="E286">
            <v>26.2</v>
          </cell>
          <cell r="F286">
            <v>100</v>
          </cell>
          <cell r="G286">
            <v>0</v>
          </cell>
        </row>
        <row r="287">
          <cell r="A287">
            <v>284</v>
          </cell>
          <cell r="B287" t="str">
            <v>LAMINADOS IPE</v>
          </cell>
          <cell r="C287" t="str">
            <v>Perfiles IPE 240</v>
          </cell>
          <cell r="D287">
            <v>30.7</v>
          </cell>
          <cell r="E287">
            <v>30.7</v>
          </cell>
          <cell r="F287">
            <v>100</v>
          </cell>
          <cell r="G287">
            <v>0</v>
          </cell>
        </row>
        <row r="288">
          <cell r="A288">
            <v>285</v>
          </cell>
          <cell r="B288" t="str">
            <v>LAMINADOS IPE</v>
          </cell>
          <cell r="C288" t="str">
            <v>Perfiles IPE 270</v>
          </cell>
          <cell r="D288">
            <v>36.1</v>
          </cell>
          <cell r="E288">
            <v>36.1</v>
          </cell>
          <cell r="F288">
            <v>100</v>
          </cell>
          <cell r="G288">
            <v>0</v>
          </cell>
        </row>
        <row r="289">
          <cell r="A289">
            <v>286</v>
          </cell>
          <cell r="B289" t="str">
            <v>LAMINADOS IPE</v>
          </cell>
          <cell r="C289" t="str">
            <v>Perfiles IPE 300</v>
          </cell>
          <cell r="D289">
            <v>42.2</v>
          </cell>
          <cell r="E289">
            <v>42.2</v>
          </cell>
          <cell r="F289">
            <v>100</v>
          </cell>
          <cell r="G289">
            <v>0</v>
          </cell>
        </row>
        <row r="290">
          <cell r="A290">
            <v>287</v>
          </cell>
          <cell r="B290" t="str">
            <v>LAMINADOS IPE</v>
          </cell>
          <cell r="C290" t="str">
            <v>Perfiles IPE 330</v>
          </cell>
          <cell r="D290">
            <v>49.1</v>
          </cell>
          <cell r="E290">
            <v>49.1</v>
          </cell>
          <cell r="F290">
            <v>40</v>
          </cell>
          <cell r="G290">
            <v>0</v>
          </cell>
        </row>
        <row r="291">
          <cell r="A291">
            <v>288</v>
          </cell>
          <cell r="B291" t="str">
            <v>LAMINADOS IPE</v>
          </cell>
          <cell r="C291" t="str">
            <v>Perfiles IPE 360</v>
          </cell>
          <cell r="D291">
            <v>57.1</v>
          </cell>
          <cell r="E291">
            <v>57.1</v>
          </cell>
          <cell r="F291">
            <v>40</v>
          </cell>
          <cell r="G291">
            <v>0</v>
          </cell>
        </row>
        <row r="292">
          <cell r="A292">
            <v>289</v>
          </cell>
          <cell r="B292" t="str">
            <v>LAMINADOS IPE</v>
          </cell>
          <cell r="C292" t="str">
            <v>Perfiles IPE 400</v>
          </cell>
          <cell r="D292">
            <v>66.3</v>
          </cell>
          <cell r="E292">
            <v>66.3</v>
          </cell>
          <cell r="F292">
            <v>40</v>
          </cell>
          <cell r="G292">
            <v>0</v>
          </cell>
        </row>
        <row r="293">
          <cell r="A293">
            <v>290</v>
          </cell>
          <cell r="B293" t="str">
            <v>LAMINADOS IPE</v>
          </cell>
          <cell r="C293" t="str">
            <v>Perfiles IPE 450</v>
          </cell>
          <cell r="D293">
            <v>77.599999999999994</v>
          </cell>
          <cell r="E293">
            <v>77.599999999999994</v>
          </cell>
          <cell r="F293">
            <v>50</v>
          </cell>
          <cell r="G293">
            <v>0</v>
          </cell>
        </row>
        <row r="294">
          <cell r="A294">
            <v>291</v>
          </cell>
          <cell r="B294" t="str">
            <v>LAMINADOS IPE</v>
          </cell>
          <cell r="C294" t="str">
            <v>Perfiles IPE 500</v>
          </cell>
          <cell r="D294">
            <v>90.7</v>
          </cell>
          <cell r="E294">
            <v>90.7</v>
          </cell>
          <cell r="F294">
            <v>50</v>
          </cell>
          <cell r="G294">
            <v>0</v>
          </cell>
        </row>
        <row r="295">
          <cell r="A295">
            <v>292</v>
          </cell>
          <cell r="B295" t="str">
            <v>LAMINADOS IPE</v>
          </cell>
          <cell r="C295" t="str">
            <v>Perfiles IPE 550</v>
          </cell>
          <cell r="D295">
            <v>106</v>
          </cell>
          <cell r="E295">
            <v>106</v>
          </cell>
          <cell r="F295">
            <v>50</v>
          </cell>
          <cell r="G295">
            <v>0</v>
          </cell>
        </row>
        <row r="296">
          <cell r="A296">
            <v>293</v>
          </cell>
          <cell r="B296" t="str">
            <v>LAMINADOS IPE</v>
          </cell>
          <cell r="C296" t="str">
            <v>Perfiles IPE 600</v>
          </cell>
          <cell r="D296">
            <v>122</v>
          </cell>
          <cell r="E296">
            <v>122</v>
          </cell>
          <cell r="F296">
            <v>50</v>
          </cell>
          <cell r="G296">
            <v>0</v>
          </cell>
        </row>
        <row r="297">
          <cell r="A297">
            <v>294</v>
          </cell>
          <cell r="B297" t="str">
            <v>LAMINADOS IPN</v>
          </cell>
          <cell r="C297" t="str">
            <v>Perfiles IPN 80</v>
          </cell>
          <cell r="D297">
            <v>5.95</v>
          </cell>
          <cell r="E297">
            <v>5.95</v>
          </cell>
          <cell r="F297">
            <v>50</v>
          </cell>
          <cell r="G297">
            <v>0</v>
          </cell>
        </row>
        <row r="298">
          <cell r="A298">
            <v>295</v>
          </cell>
          <cell r="B298" t="str">
            <v>LAMINADOS IPN</v>
          </cell>
          <cell r="C298" t="str">
            <v>Perfiles IPN 100</v>
          </cell>
          <cell r="D298">
            <v>8.32</v>
          </cell>
          <cell r="E298">
            <v>8.32</v>
          </cell>
          <cell r="F298">
            <v>50</v>
          </cell>
          <cell r="G298">
            <v>0</v>
          </cell>
        </row>
        <row r="299">
          <cell r="A299">
            <v>296</v>
          </cell>
          <cell r="B299" t="str">
            <v>LAMINADOS IPN</v>
          </cell>
          <cell r="C299" t="str">
            <v>Perfiles IPN 120</v>
          </cell>
          <cell r="D299">
            <v>11.2</v>
          </cell>
          <cell r="E299">
            <v>11.2</v>
          </cell>
          <cell r="F299">
            <v>70</v>
          </cell>
          <cell r="G299">
            <v>0</v>
          </cell>
        </row>
        <row r="300">
          <cell r="A300">
            <v>297</v>
          </cell>
          <cell r="B300" t="str">
            <v>LAMINADOS IPN</v>
          </cell>
          <cell r="C300" t="str">
            <v>Perfiles IPN 140</v>
          </cell>
          <cell r="D300">
            <v>14.4</v>
          </cell>
          <cell r="E300">
            <v>14.4</v>
          </cell>
          <cell r="F300">
            <v>70</v>
          </cell>
          <cell r="G300">
            <v>0</v>
          </cell>
        </row>
        <row r="301">
          <cell r="A301">
            <v>298</v>
          </cell>
          <cell r="B301" t="str">
            <v>LAMINADOS IPN</v>
          </cell>
          <cell r="C301" t="str">
            <v>Perfiles IPN 160</v>
          </cell>
          <cell r="D301">
            <v>17.899999999999999</v>
          </cell>
          <cell r="E301">
            <v>17.899999999999999</v>
          </cell>
          <cell r="F301">
            <v>70</v>
          </cell>
          <cell r="G301">
            <v>0</v>
          </cell>
        </row>
        <row r="302">
          <cell r="A302">
            <v>299</v>
          </cell>
          <cell r="B302" t="str">
            <v>LAMINADOS IPN</v>
          </cell>
          <cell r="C302" t="str">
            <v>Perfiles IPN 180</v>
          </cell>
          <cell r="D302">
            <v>21.9</v>
          </cell>
          <cell r="E302">
            <v>21.9</v>
          </cell>
          <cell r="F302">
            <v>70</v>
          </cell>
          <cell r="G302">
            <v>0</v>
          </cell>
        </row>
        <row r="303">
          <cell r="A303">
            <v>300</v>
          </cell>
          <cell r="B303" t="str">
            <v>LAMINADOS IPN</v>
          </cell>
          <cell r="C303" t="str">
            <v>Perfiles IPN 200</v>
          </cell>
          <cell r="D303">
            <v>26.3</v>
          </cell>
          <cell r="E303">
            <v>26.3</v>
          </cell>
          <cell r="F303">
            <v>60</v>
          </cell>
          <cell r="G303">
            <v>0</v>
          </cell>
        </row>
        <row r="304">
          <cell r="A304">
            <v>301</v>
          </cell>
          <cell r="B304" t="str">
            <v>LAMINADOS IPN</v>
          </cell>
          <cell r="C304" t="str">
            <v>Perfiles IPN 220</v>
          </cell>
          <cell r="D304">
            <v>31.1</v>
          </cell>
          <cell r="E304">
            <v>31.1</v>
          </cell>
          <cell r="F304">
            <v>60</v>
          </cell>
          <cell r="G304">
            <v>0</v>
          </cell>
        </row>
        <row r="305">
          <cell r="A305">
            <v>302</v>
          </cell>
          <cell r="B305" t="str">
            <v>LAMINADOS IPN</v>
          </cell>
          <cell r="C305" t="str">
            <v>Perfiles IPN 240</v>
          </cell>
          <cell r="D305">
            <v>36.200000000000003</v>
          </cell>
          <cell r="E305">
            <v>36.200000000000003</v>
          </cell>
          <cell r="F305">
            <v>60</v>
          </cell>
          <cell r="G305">
            <v>0</v>
          </cell>
        </row>
        <row r="306">
          <cell r="A306">
            <v>303</v>
          </cell>
          <cell r="B306" t="str">
            <v>LAMINADOS IPN</v>
          </cell>
          <cell r="C306" t="str">
            <v>Perfiles IPN 260</v>
          </cell>
          <cell r="D306">
            <v>41.9</v>
          </cell>
          <cell r="E306">
            <v>41.9</v>
          </cell>
          <cell r="F306">
            <v>60</v>
          </cell>
          <cell r="G306">
            <v>0</v>
          </cell>
        </row>
        <row r="307">
          <cell r="A307">
            <v>304</v>
          </cell>
          <cell r="B307" t="str">
            <v>LAMINADOS IPN</v>
          </cell>
          <cell r="C307" t="str">
            <v>Perfiles IPN 280</v>
          </cell>
          <cell r="D307">
            <v>48</v>
          </cell>
          <cell r="E307">
            <v>48</v>
          </cell>
          <cell r="F307">
            <v>80</v>
          </cell>
          <cell r="G307">
            <v>0</v>
          </cell>
        </row>
        <row r="308">
          <cell r="A308">
            <v>305</v>
          </cell>
          <cell r="B308" t="str">
            <v>LAMINADOS IPN</v>
          </cell>
          <cell r="C308" t="str">
            <v>Perfiles IPN 300</v>
          </cell>
          <cell r="D308">
            <v>54.2</v>
          </cell>
          <cell r="E308">
            <v>54.2</v>
          </cell>
          <cell r="F308">
            <v>80</v>
          </cell>
          <cell r="G308">
            <v>0</v>
          </cell>
        </row>
        <row r="309">
          <cell r="A309">
            <v>306</v>
          </cell>
          <cell r="B309" t="str">
            <v>LAMINADOS IPN</v>
          </cell>
          <cell r="C309" t="str">
            <v>Perfiles IPN 320</v>
          </cell>
          <cell r="D309">
            <v>61.1</v>
          </cell>
          <cell r="E309">
            <v>61.1</v>
          </cell>
          <cell r="F309">
            <v>80</v>
          </cell>
          <cell r="G309">
            <v>0</v>
          </cell>
        </row>
        <row r="310">
          <cell r="A310">
            <v>307</v>
          </cell>
          <cell r="B310" t="str">
            <v>LAMINADOS IPN</v>
          </cell>
          <cell r="C310" t="str">
            <v>Perfiles IPN 340</v>
          </cell>
          <cell r="D310">
            <v>68.099999999999994</v>
          </cell>
          <cell r="E310">
            <v>68.099999999999994</v>
          </cell>
          <cell r="F310">
            <v>80</v>
          </cell>
          <cell r="G310">
            <v>0</v>
          </cell>
        </row>
        <row r="311">
          <cell r="A311">
            <v>308</v>
          </cell>
          <cell r="B311" t="str">
            <v>LAMINADOS IPN</v>
          </cell>
          <cell r="C311" t="str">
            <v>Perfiles IPN 360</v>
          </cell>
          <cell r="D311">
            <v>76.2</v>
          </cell>
          <cell r="E311">
            <v>76.2</v>
          </cell>
          <cell r="F311">
            <v>100</v>
          </cell>
          <cell r="G311">
            <v>0</v>
          </cell>
        </row>
        <row r="312">
          <cell r="A312">
            <v>309</v>
          </cell>
          <cell r="B312" t="str">
            <v>LAMINADOS IPN</v>
          </cell>
          <cell r="C312" t="str">
            <v>Perfiles IPN 380</v>
          </cell>
          <cell r="D312">
            <v>84</v>
          </cell>
          <cell r="E312">
            <v>84</v>
          </cell>
          <cell r="F312">
            <v>100</v>
          </cell>
          <cell r="G312">
            <v>0</v>
          </cell>
        </row>
        <row r="313">
          <cell r="A313">
            <v>310</v>
          </cell>
          <cell r="B313" t="str">
            <v>LAMINADOS IPN</v>
          </cell>
          <cell r="C313" t="str">
            <v>Perfiles IPN 400</v>
          </cell>
          <cell r="D313">
            <v>92.6</v>
          </cell>
          <cell r="E313">
            <v>92.6</v>
          </cell>
          <cell r="F313">
            <v>100</v>
          </cell>
          <cell r="G313">
            <v>0</v>
          </cell>
        </row>
        <row r="314">
          <cell r="A314">
            <v>311</v>
          </cell>
          <cell r="B314" t="str">
            <v>LAMINADOS IPN</v>
          </cell>
          <cell r="C314" t="str">
            <v>Perfiles IPN 450</v>
          </cell>
          <cell r="D314">
            <v>115</v>
          </cell>
          <cell r="E314">
            <v>115</v>
          </cell>
          <cell r="F314">
            <v>150</v>
          </cell>
          <cell r="G314">
            <v>0</v>
          </cell>
        </row>
        <row r="315">
          <cell r="A315">
            <v>312</v>
          </cell>
          <cell r="B315" t="str">
            <v>LAMINADOS IPN</v>
          </cell>
          <cell r="C315" t="str">
            <v>Perfiles IPN 500</v>
          </cell>
          <cell r="D315">
            <v>141</v>
          </cell>
          <cell r="E315">
            <v>141</v>
          </cell>
          <cell r="F315">
            <v>150</v>
          </cell>
          <cell r="G315">
            <v>0</v>
          </cell>
        </row>
        <row r="316">
          <cell r="A316">
            <v>313</v>
          </cell>
          <cell r="B316" t="str">
            <v>LAMINADOS IPN</v>
          </cell>
          <cell r="C316" t="str">
            <v>Perfiles IPN 550</v>
          </cell>
          <cell r="D316">
            <v>167</v>
          </cell>
          <cell r="E316">
            <v>167</v>
          </cell>
          <cell r="F316">
            <v>150</v>
          </cell>
          <cell r="G316">
            <v>0</v>
          </cell>
        </row>
        <row r="317">
          <cell r="A317">
            <v>314</v>
          </cell>
          <cell r="B317" t="str">
            <v>LAMINADOS IPN</v>
          </cell>
          <cell r="C317" t="str">
            <v>Perfiles IPN 600</v>
          </cell>
          <cell r="D317">
            <v>199</v>
          </cell>
          <cell r="E317">
            <v>199</v>
          </cell>
          <cell r="F317">
            <v>8</v>
          </cell>
          <cell r="G317">
            <v>0</v>
          </cell>
        </row>
        <row r="318">
          <cell r="A318">
            <v>315</v>
          </cell>
          <cell r="B318" t="str">
            <v>LAMINADOS L</v>
          </cell>
          <cell r="C318" t="str">
            <v>Angulos L 40 x 40 x 4</v>
          </cell>
          <cell r="D318">
            <v>2.42</v>
          </cell>
          <cell r="E318">
            <v>2.42</v>
          </cell>
          <cell r="F318">
            <v>9</v>
          </cell>
          <cell r="G318">
            <v>0</v>
          </cell>
        </row>
        <row r="319">
          <cell r="A319">
            <v>316</v>
          </cell>
          <cell r="B319" t="str">
            <v>LAMINADOS L</v>
          </cell>
          <cell r="C319" t="str">
            <v>Angulos L 40 x 40 x 5</v>
          </cell>
          <cell r="D319">
            <v>2.97</v>
          </cell>
          <cell r="E319">
            <v>2.97</v>
          </cell>
          <cell r="F319">
            <v>11</v>
          </cell>
          <cell r="G319">
            <v>0</v>
          </cell>
        </row>
        <row r="320">
          <cell r="A320">
            <v>317</v>
          </cell>
          <cell r="B320" t="str">
            <v>LAMINADOS L</v>
          </cell>
          <cell r="C320" t="str">
            <v>Angulos L 40 x 40 x 6</v>
          </cell>
          <cell r="D320">
            <v>3.52</v>
          </cell>
          <cell r="E320">
            <v>3.52</v>
          </cell>
          <cell r="F320">
            <v>15</v>
          </cell>
          <cell r="G320">
            <v>0</v>
          </cell>
        </row>
        <row r="321">
          <cell r="A321">
            <v>318</v>
          </cell>
          <cell r="B321" t="str">
            <v>LAMINADOS L</v>
          </cell>
          <cell r="C321" t="str">
            <v>Angulos L 45 x 45 x 4</v>
          </cell>
          <cell r="D321">
            <v>2.74</v>
          </cell>
          <cell r="E321">
            <v>2.74</v>
          </cell>
          <cell r="F321">
            <v>18</v>
          </cell>
          <cell r="G321">
            <v>0</v>
          </cell>
        </row>
        <row r="322">
          <cell r="A322">
            <v>319</v>
          </cell>
          <cell r="B322" t="str">
            <v>LAMINADOS L</v>
          </cell>
          <cell r="C322" t="str">
            <v>Angulos L 45 x 45 x 5</v>
          </cell>
          <cell r="D322">
            <v>3.38</v>
          </cell>
          <cell r="E322">
            <v>3.38</v>
          </cell>
          <cell r="F322">
            <v>24.5</v>
          </cell>
          <cell r="G322">
            <v>0</v>
          </cell>
        </row>
        <row r="323">
          <cell r="A323">
            <v>320</v>
          </cell>
          <cell r="B323" t="str">
            <v>LAMINADOS L</v>
          </cell>
          <cell r="C323" t="str">
            <v>Angulos L 45 x 45 x 6</v>
          </cell>
          <cell r="D323">
            <v>4</v>
          </cell>
          <cell r="E323">
            <v>4</v>
          </cell>
          <cell r="F323">
            <v>5.5</v>
          </cell>
          <cell r="G323">
            <v>0</v>
          </cell>
        </row>
        <row r="324">
          <cell r="A324">
            <v>321</v>
          </cell>
          <cell r="B324" t="str">
            <v>LAMINADOS L</v>
          </cell>
          <cell r="C324" t="str">
            <v>Angulos L 50 x 50 x 4</v>
          </cell>
          <cell r="D324">
            <v>3.06</v>
          </cell>
          <cell r="E324">
            <v>3.06</v>
          </cell>
          <cell r="F324">
            <v>5.5</v>
          </cell>
          <cell r="G324">
            <v>0</v>
          </cell>
        </row>
        <row r="325">
          <cell r="A325">
            <v>322</v>
          </cell>
          <cell r="B325" t="str">
            <v>LAMINADOS L</v>
          </cell>
          <cell r="C325" t="str">
            <v>Angulos L 50 x 50 x 5</v>
          </cell>
          <cell r="D325">
            <v>3.77</v>
          </cell>
          <cell r="E325">
            <v>3.77</v>
          </cell>
          <cell r="F325">
            <v>8</v>
          </cell>
          <cell r="G325">
            <v>0</v>
          </cell>
        </row>
        <row r="326">
          <cell r="A326">
            <v>323</v>
          </cell>
          <cell r="B326" t="str">
            <v>LAMINADOS L</v>
          </cell>
          <cell r="C326" t="str">
            <v>Angulos L 50 x 50 x 6</v>
          </cell>
          <cell r="D326">
            <v>4.47</v>
          </cell>
          <cell r="E326">
            <v>4.47</v>
          </cell>
          <cell r="F326">
            <v>10</v>
          </cell>
          <cell r="G326">
            <v>0</v>
          </cell>
        </row>
        <row r="327">
          <cell r="A327">
            <v>324</v>
          </cell>
          <cell r="B327" t="str">
            <v>LAMINADOS L</v>
          </cell>
          <cell r="C327" t="str">
            <v>Angulos L 50 x 50 x 7</v>
          </cell>
          <cell r="D327">
            <v>5.15</v>
          </cell>
          <cell r="E327">
            <v>5.15</v>
          </cell>
          <cell r="F327">
            <v>12</v>
          </cell>
          <cell r="G327">
            <v>0</v>
          </cell>
        </row>
        <row r="328">
          <cell r="A328">
            <v>325</v>
          </cell>
          <cell r="B328" t="str">
            <v>LAMINADOS L</v>
          </cell>
          <cell r="C328" t="str">
            <v>Angulos L 50 x 50 x 8</v>
          </cell>
          <cell r="D328">
            <v>5.82</v>
          </cell>
          <cell r="E328">
            <v>5.82</v>
          </cell>
          <cell r="F328">
            <v>15</v>
          </cell>
          <cell r="G328">
            <v>0</v>
          </cell>
        </row>
        <row r="329">
          <cell r="A329">
            <v>326</v>
          </cell>
          <cell r="B329" t="str">
            <v>LAMINADOS L</v>
          </cell>
          <cell r="C329" t="str">
            <v>Angulos L 60 x 60 x 5</v>
          </cell>
          <cell r="D329">
            <v>4.57</v>
          </cell>
          <cell r="E329">
            <v>4.57</v>
          </cell>
          <cell r="F329">
            <v>18</v>
          </cell>
          <cell r="G329">
            <v>0</v>
          </cell>
        </row>
        <row r="330">
          <cell r="A330">
            <v>327</v>
          </cell>
          <cell r="B330" t="str">
            <v>LAMINADOS L</v>
          </cell>
          <cell r="C330" t="str">
            <v>Angulos  L 60 x 60 x 6</v>
          </cell>
          <cell r="D330">
            <v>5.42</v>
          </cell>
          <cell r="E330">
            <v>5.42</v>
          </cell>
          <cell r="F330">
            <v>20</v>
          </cell>
          <cell r="G330">
            <v>0</v>
          </cell>
        </row>
        <row r="331">
          <cell r="A331">
            <v>328</v>
          </cell>
          <cell r="B331" t="str">
            <v>LAMINADOS L</v>
          </cell>
          <cell r="C331" t="str">
            <v>Angulos L 60 x 60 x 8</v>
          </cell>
          <cell r="D331">
            <v>7.09</v>
          </cell>
          <cell r="E331">
            <v>7.09</v>
          </cell>
          <cell r="F331">
            <v>22</v>
          </cell>
          <cell r="G331">
            <v>0</v>
          </cell>
        </row>
        <row r="332">
          <cell r="A332">
            <v>329</v>
          </cell>
          <cell r="B332" t="str">
            <v>LAMINADOS L</v>
          </cell>
          <cell r="C332" t="str">
            <v>Angulos L 60 x 60 x 10</v>
          </cell>
          <cell r="D332">
            <v>8.69</v>
          </cell>
          <cell r="E332">
            <v>8.69</v>
          </cell>
          <cell r="F332">
            <v>24.5</v>
          </cell>
          <cell r="G332">
            <v>0</v>
          </cell>
        </row>
        <row r="333">
          <cell r="A333">
            <v>330</v>
          </cell>
          <cell r="B333" t="str">
            <v>LAMINADOS L</v>
          </cell>
          <cell r="C333" t="str">
            <v>Angulos L 70 x 70 x 6</v>
          </cell>
          <cell r="D333">
            <v>6.38</v>
          </cell>
          <cell r="E333">
            <v>6.38</v>
          </cell>
          <cell r="F333">
            <v>8</v>
          </cell>
          <cell r="G333">
            <v>0</v>
          </cell>
        </row>
        <row r="334">
          <cell r="A334">
            <v>331</v>
          </cell>
          <cell r="B334" t="str">
            <v>LAMINADOS L</v>
          </cell>
          <cell r="C334" t="str">
            <v>Angulos L 70 x 70 x 7</v>
          </cell>
          <cell r="D334">
            <v>7.38</v>
          </cell>
          <cell r="E334">
            <v>7.38</v>
          </cell>
          <cell r="F334">
            <v>10</v>
          </cell>
          <cell r="G334">
            <v>0</v>
          </cell>
        </row>
        <row r="335">
          <cell r="A335">
            <v>332</v>
          </cell>
          <cell r="B335" t="str">
            <v>LAMINADOS L</v>
          </cell>
          <cell r="C335" t="str">
            <v>Angulos L 70 x 70 x 8</v>
          </cell>
          <cell r="D335">
            <v>8.36</v>
          </cell>
          <cell r="E335">
            <v>8.36</v>
          </cell>
          <cell r="F335">
            <v>12</v>
          </cell>
          <cell r="G335">
            <v>0</v>
          </cell>
        </row>
        <row r="336">
          <cell r="A336">
            <v>333</v>
          </cell>
          <cell r="B336" t="str">
            <v>LAMINADOS L</v>
          </cell>
          <cell r="C336" t="str">
            <v>Angulos L 70 x 70 x 10</v>
          </cell>
          <cell r="D336">
            <v>10.3</v>
          </cell>
          <cell r="E336">
            <v>10.3</v>
          </cell>
          <cell r="F336">
            <v>14</v>
          </cell>
          <cell r="G336">
            <v>0</v>
          </cell>
        </row>
        <row r="337">
          <cell r="A337">
            <v>334</v>
          </cell>
          <cell r="B337" t="str">
            <v>LAMINADOS L</v>
          </cell>
          <cell r="C337" t="str">
            <v>Angulos L 80 x 80 x 8</v>
          </cell>
          <cell r="D337">
            <v>9.6300000000000008</v>
          </cell>
          <cell r="E337">
            <v>9.6300000000000008</v>
          </cell>
          <cell r="F337">
            <v>16</v>
          </cell>
          <cell r="G337">
            <v>0</v>
          </cell>
        </row>
        <row r="338">
          <cell r="A338">
            <v>335</v>
          </cell>
          <cell r="B338" t="str">
            <v>LAMINADOS L</v>
          </cell>
          <cell r="C338" t="str">
            <v>Angulos L 80 x 80 x 10</v>
          </cell>
          <cell r="D338">
            <v>11.9</v>
          </cell>
          <cell r="E338">
            <v>11.9</v>
          </cell>
          <cell r="F338">
            <v>18</v>
          </cell>
          <cell r="G338">
            <v>0</v>
          </cell>
        </row>
        <row r="339">
          <cell r="A339">
            <v>336</v>
          </cell>
          <cell r="B339" t="str">
            <v>LAMINADOS L</v>
          </cell>
          <cell r="C339" t="str">
            <v>Angulos L 80 x 80 x 12</v>
          </cell>
          <cell r="D339">
            <v>14</v>
          </cell>
          <cell r="E339">
            <v>14</v>
          </cell>
          <cell r="F339">
            <v>20</v>
          </cell>
          <cell r="G339">
            <v>0</v>
          </cell>
        </row>
        <row r="340">
          <cell r="A340">
            <v>337</v>
          </cell>
          <cell r="B340" t="str">
            <v>LAMINADOS L</v>
          </cell>
          <cell r="C340" t="str">
            <v>Angulos L 90 x 90 x 8</v>
          </cell>
          <cell r="D340">
            <v>10.9</v>
          </cell>
          <cell r="E340">
            <v>10.9</v>
          </cell>
          <cell r="F340">
            <v>22</v>
          </cell>
          <cell r="G340">
            <v>0</v>
          </cell>
        </row>
        <row r="341">
          <cell r="A341">
            <v>338</v>
          </cell>
          <cell r="B341" t="str">
            <v>LAMINADOS L</v>
          </cell>
          <cell r="C341" t="str">
            <v>Angulos L 90 x 90 x 10</v>
          </cell>
          <cell r="D341">
            <v>13.4</v>
          </cell>
          <cell r="E341">
            <v>13.4</v>
          </cell>
          <cell r="F341">
            <v>25</v>
          </cell>
          <cell r="G341">
            <v>0</v>
          </cell>
        </row>
        <row r="342">
          <cell r="A342">
            <v>339</v>
          </cell>
          <cell r="B342" t="str">
            <v>LAMINADOS L</v>
          </cell>
          <cell r="C342" t="str">
            <v>Angulos L 90 x 90 x 12</v>
          </cell>
          <cell r="D342">
            <v>15.9</v>
          </cell>
          <cell r="E342">
            <v>15.9</v>
          </cell>
          <cell r="F342">
            <v>28</v>
          </cell>
          <cell r="G342">
            <v>0</v>
          </cell>
        </row>
        <row r="343">
          <cell r="A343">
            <v>340</v>
          </cell>
          <cell r="B343" t="str">
            <v>LAMINADOS L</v>
          </cell>
          <cell r="C343" t="str">
            <v>Angulos L 100 x 100 x 8</v>
          </cell>
          <cell r="D343">
            <v>12.5</v>
          </cell>
          <cell r="E343">
            <v>12.5</v>
          </cell>
          <cell r="F343">
            <v>32</v>
          </cell>
          <cell r="G343">
            <v>0</v>
          </cell>
        </row>
        <row r="344">
          <cell r="A344">
            <v>341</v>
          </cell>
          <cell r="B344" t="str">
            <v>LAMINADOS L</v>
          </cell>
          <cell r="C344" t="str">
            <v>Angulos L 100 x 100 x 10</v>
          </cell>
          <cell r="D344">
            <v>15</v>
          </cell>
          <cell r="E344">
            <v>15</v>
          </cell>
          <cell r="F344">
            <v>6.35</v>
          </cell>
          <cell r="G344">
            <v>0</v>
          </cell>
        </row>
        <row r="345">
          <cell r="A345">
            <v>342</v>
          </cell>
          <cell r="B345" t="str">
            <v>LAMINADOS L</v>
          </cell>
          <cell r="C345" t="str">
            <v>Angulos L 100 x 100 x 12</v>
          </cell>
          <cell r="D345">
            <v>17.8</v>
          </cell>
          <cell r="E345">
            <v>17.8</v>
          </cell>
          <cell r="F345">
            <v>7.9375</v>
          </cell>
          <cell r="G345">
            <v>0</v>
          </cell>
        </row>
        <row r="346">
          <cell r="A346">
            <v>343</v>
          </cell>
          <cell r="B346" t="str">
            <v>LAMINADOS L</v>
          </cell>
          <cell r="C346" t="str">
            <v>Angulos L 100 x 100 x 15</v>
          </cell>
          <cell r="D346">
            <v>21.9</v>
          </cell>
          <cell r="E346">
            <v>21.9</v>
          </cell>
          <cell r="F346">
            <v>9.5249999999999986</v>
          </cell>
          <cell r="G346">
            <v>0</v>
          </cell>
        </row>
        <row r="347">
          <cell r="A347">
            <v>344</v>
          </cell>
          <cell r="B347" t="str">
            <v>LAMINADOS L</v>
          </cell>
          <cell r="C347" t="str">
            <v>Angulos L 120 x 120 x 10</v>
          </cell>
          <cell r="D347">
            <v>18.2</v>
          </cell>
          <cell r="E347">
            <v>18.2</v>
          </cell>
          <cell r="F347">
            <v>12.7</v>
          </cell>
          <cell r="G347">
            <v>0</v>
          </cell>
        </row>
        <row r="348">
          <cell r="A348">
            <v>345</v>
          </cell>
          <cell r="B348" t="str">
            <v>LAMINADOS L</v>
          </cell>
          <cell r="C348" t="str">
            <v>Angulos L 120 x 120 x 12</v>
          </cell>
          <cell r="D348">
            <v>21.6</v>
          </cell>
          <cell r="E348">
            <v>21.6</v>
          </cell>
          <cell r="F348">
            <v>12.7</v>
          </cell>
          <cell r="G348">
            <v>0</v>
          </cell>
        </row>
        <row r="349">
          <cell r="A349">
            <v>346</v>
          </cell>
          <cell r="B349" t="str">
            <v>LAMINADOS L</v>
          </cell>
          <cell r="C349" t="str">
            <v>Angulos L 120 x 120 x 15</v>
          </cell>
          <cell r="D349">
            <v>26.6</v>
          </cell>
          <cell r="E349">
            <v>26.6</v>
          </cell>
          <cell r="F349">
            <v>15.875</v>
          </cell>
          <cell r="G349">
            <v>0</v>
          </cell>
        </row>
        <row r="350">
          <cell r="A350">
            <v>347</v>
          </cell>
          <cell r="B350" t="str">
            <v>LAMINADOS L</v>
          </cell>
          <cell r="C350" t="str">
            <v xml:space="preserve">Angulos L 150 x 150 x 12 </v>
          </cell>
          <cell r="D350">
            <v>27.3</v>
          </cell>
          <cell r="E350">
            <v>27.3</v>
          </cell>
          <cell r="F350">
            <v>19.049999999999997</v>
          </cell>
          <cell r="G350">
            <v>0</v>
          </cell>
        </row>
        <row r="351">
          <cell r="A351">
            <v>348</v>
          </cell>
          <cell r="B351" t="str">
            <v>LAMINADOS L</v>
          </cell>
          <cell r="C351" t="str">
            <v>Angulos L 150 x 150 x 15</v>
          </cell>
          <cell r="D351">
            <v>33.799999999999997</v>
          </cell>
          <cell r="E351">
            <v>33.799999999999997</v>
          </cell>
          <cell r="F351">
            <v>22.224999999999998</v>
          </cell>
          <cell r="G351">
            <v>0</v>
          </cell>
        </row>
        <row r="352">
          <cell r="A352">
            <v>349</v>
          </cell>
          <cell r="B352" t="str">
            <v>LAMINADOS L</v>
          </cell>
          <cell r="C352" t="str">
            <v>Angulos L 150 x 150 x 18</v>
          </cell>
          <cell r="D352">
            <v>40.1</v>
          </cell>
          <cell r="E352">
            <v>40.1</v>
          </cell>
          <cell r="F352">
            <v>25.4</v>
          </cell>
          <cell r="G352">
            <v>0</v>
          </cell>
        </row>
        <row r="353">
          <cell r="A353">
            <v>350</v>
          </cell>
          <cell r="B353" t="str">
            <v>LAMINADOS L</v>
          </cell>
          <cell r="C353" t="str">
            <v>Angulos L 180 x 180 x 15</v>
          </cell>
          <cell r="D353">
            <v>40.9</v>
          </cell>
          <cell r="E353">
            <v>40.9</v>
          </cell>
          <cell r="F353">
            <v>28.574999999999999</v>
          </cell>
          <cell r="G353">
            <v>0</v>
          </cell>
        </row>
        <row r="354">
          <cell r="A354">
            <v>351</v>
          </cell>
          <cell r="B354" t="str">
            <v>LAMINADOS L</v>
          </cell>
          <cell r="C354" t="str">
            <v>Angulos L 180 x 180 x 18</v>
          </cell>
          <cell r="D354">
            <v>48.6</v>
          </cell>
          <cell r="E354">
            <v>48.6</v>
          </cell>
          <cell r="F354">
            <v>31.75</v>
          </cell>
          <cell r="G354">
            <v>0</v>
          </cell>
        </row>
        <row r="355">
          <cell r="A355">
            <v>352</v>
          </cell>
          <cell r="B355" t="str">
            <v>LAMINADOS L</v>
          </cell>
          <cell r="C355" t="str">
            <v>Angulos L 180 x 180 x 20</v>
          </cell>
          <cell r="D355">
            <v>53.7</v>
          </cell>
          <cell r="E355">
            <v>53.7</v>
          </cell>
          <cell r="F355">
            <v>34.924999999999997</v>
          </cell>
          <cell r="G355">
            <v>0</v>
          </cell>
        </row>
        <row r="356">
          <cell r="A356">
            <v>353</v>
          </cell>
          <cell r="B356" t="str">
            <v>LAMINADOS L</v>
          </cell>
          <cell r="C356" t="str">
            <v>Angulos L 200 x 200 x 16</v>
          </cell>
          <cell r="D356">
            <v>48.5</v>
          </cell>
          <cell r="E356">
            <v>48.5</v>
          </cell>
          <cell r="F356">
            <v>38.099999999999994</v>
          </cell>
          <cell r="G356">
            <v>0</v>
          </cell>
        </row>
        <row r="357">
          <cell r="A357">
            <v>354</v>
          </cell>
          <cell r="B357" t="str">
            <v>LAMINADOS L</v>
          </cell>
          <cell r="C357" t="str">
            <v>Angulos L 200 x 200 x 18</v>
          </cell>
          <cell r="D357">
            <v>54.2</v>
          </cell>
          <cell r="E357">
            <v>54.2</v>
          </cell>
          <cell r="F357">
            <v>44.449999999999996</v>
          </cell>
          <cell r="G357">
            <v>0</v>
          </cell>
        </row>
        <row r="358">
          <cell r="A358">
            <v>355</v>
          </cell>
          <cell r="B358" t="str">
            <v>LAMINADOS L</v>
          </cell>
          <cell r="C358" t="str">
            <v>Angulos L 200 x 200 x 20</v>
          </cell>
          <cell r="D358">
            <v>59.9</v>
          </cell>
          <cell r="E358">
            <v>59.9</v>
          </cell>
          <cell r="F358">
            <v>50.8</v>
          </cell>
          <cell r="G358">
            <v>0</v>
          </cell>
        </row>
        <row r="359">
          <cell r="A359">
            <v>356</v>
          </cell>
          <cell r="B359" t="str">
            <v>LAMINADOS L</v>
          </cell>
          <cell r="C359" t="str">
            <v>Angulos L 200 x 200 x 24</v>
          </cell>
          <cell r="D359">
            <v>71.099999999999994</v>
          </cell>
          <cell r="E359">
            <v>71.099999999999994</v>
          </cell>
          <cell r="F359">
            <v>57.15</v>
          </cell>
          <cell r="G359">
            <v>0</v>
          </cell>
        </row>
        <row r="360">
          <cell r="A360">
            <v>357</v>
          </cell>
          <cell r="B360" t="str">
            <v>LAMINADOS UPN</v>
          </cell>
          <cell r="C360" t="str">
            <v>Perfiles UPN 80</v>
          </cell>
          <cell r="D360">
            <v>8.64</v>
          </cell>
          <cell r="E360">
            <v>8.64</v>
          </cell>
          <cell r="F360">
            <v>63.5</v>
          </cell>
          <cell r="G360">
            <v>0</v>
          </cell>
        </row>
        <row r="361">
          <cell r="A361">
            <v>358</v>
          </cell>
          <cell r="B361" t="str">
            <v>LAMINADOS UPN</v>
          </cell>
          <cell r="C361" t="str">
            <v>Perfiles UPN 100</v>
          </cell>
          <cell r="D361">
            <v>10.6</v>
          </cell>
          <cell r="E361">
            <v>10.6</v>
          </cell>
          <cell r="F361">
            <v>69.849999999999994</v>
          </cell>
          <cell r="G361">
            <v>0</v>
          </cell>
        </row>
        <row r="362">
          <cell r="A362">
            <v>359</v>
          </cell>
          <cell r="B362" t="str">
            <v>LAMINADOS UPN</v>
          </cell>
          <cell r="C362" t="str">
            <v>Perfiles UPN 120</v>
          </cell>
          <cell r="D362">
            <v>13.4</v>
          </cell>
          <cell r="E362">
            <v>13.4</v>
          </cell>
          <cell r="F362">
            <v>76.199999999999989</v>
          </cell>
          <cell r="G362">
            <v>0</v>
          </cell>
        </row>
        <row r="363">
          <cell r="A363">
            <v>360</v>
          </cell>
          <cell r="B363" t="str">
            <v>LAMINADOS UPN</v>
          </cell>
          <cell r="C363" t="str">
            <v>Perfiles UPN 140</v>
          </cell>
          <cell r="D363">
            <v>16</v>
          </cell>
          <cell r="E363">
            <v>16</v>
          </cell>
          <cell r="F363">
            <v>82.55</v>
          </cell>
          <cell r="G363">
            <v>0</v>
          </cell>
        </row>
        <row r="364">
          <cell r="A364">
            <v>361</v>
          </cell>
          <cell r="B364" t="str">
            <v>LAMINADOS UPN</v>
          </cell>
          <cell r="C364" t="str">
            <v>Perfiles UPN 160</v>
          </cell>
          <cell r="D364">
            <v>18.8</v>
          </cell>
          <cell r="E364">
            <v>18.8</v>
          </cell>
          <cell r="F364">
            <v>88.899999999999991</v>
          </cell>
          <cell r="G364">
            <v>0</v>
          </cell>
        </row>
        <row r="365">
          <cell r="A365">
            <v>362</v>
          </cell>
          <cell r="B365" t="str">
            <v>LAMINADOS UPN</v>
          </cell>
          <cell r="C365" t="str">
            <v>Perfiles UPN 180</v>
          </cell>
          <cell r="D365">
            <v>22</v>
          </cell>
          <cell r="E365">
            <v>22</v>
          </cell>
          <cell r="F365">
            <v>95.25</v>
          </cell>
          <cell r="G365">
            <v>0</v>
          </cell>
        </row>
        <row r="366">
          <cell r="A366">
            <v>363</v>
          </cell>
          <cell r="B366" t="str">
            <v>LAMINADOS UPN</v>
          </cell>
          <cell r="C366" t="str">
            <v>Perfiles UPN 200</v>
          </cell>
          <cell r="D366">
            <v>25.3</v>
          </cell>
          <cell r="E366">
            <v>25.3</v>
          </cell>
          <cell r="F366">
            <v>101.6</v>
          </cell>
          <cell r="G366">
            <v>0</v>
          </cell>
        </row>
        <row r="367">
          <cell r="A367">
            <v>364</v>
          </cell>
          <cell r="B367" t="str">
            <v>LAMINADOS UPN</v>
          </cell>
          <cell r="C367" t="str">
            <v>Perfiles UPN 220</v>
          </cell>
          <cell r="D367">
            <v>29.4</v>
          </cell>
          <cell r="E367">
            <v>29.4</v>
          </cell>
          <cell r="F367">
            <v>114.3</v>
          </cell>
          <cell r="G367">
            <v>0</v>
          </cell>
        </row>
        <row r="368">
          <cell r="A368">
            <v>365</v>
          </cell>
          <cell r="B368" t="str">
            <v>LAMINADOS UPN</v>
          </cell>
          <cell r="C368" t="str">
            <v>Perfiles UPN 240</v>
          </cell>
          <cell r="D368">
            <v>33.200000000000003</v>
          </cell>
          <cell r="E368">
            <v>33.200000000000003</v>
          </cell>
          <cell r="F368">
            <v>127</v>
          </cell>
          <cell r="G368">
            <v>0</v>
          </cell>
        </row>
        <row r="369">
          <cell r="A369">
            <v>366</v>
          </cell>
          <cell r="B369" t="str">
            <v>LAMINADOS UPN</v>
          </cell>
          <cell r="C369" t="str">
            <v>Perfiles UPN 260</v>
          </cell>
          <cell r="D369">
            <v>37.9</v>
          </cell>
          <cell r="E369">
            <v>37.9</v>
          </cell>
          <cell r="F369">
            <v>139.69999999999999</v>
          </cell>
          <cell r="G369">
            <v>0</v>
          </cell>
        </row>
        <row r="370">
          <cell r="A370">
            <v>367</v>
          </cell>
          <cell r="B370" t="str">
            <v>LAMINADOS UPN</v>
          </cell>
          <cell r="C370" t="str">
            <v>Perfiles UPN 280</v>
          </cell>
          <cell r="D370">
            <v>41.8</v>
          </cell>
          <cell r="E370">
            <v>41.8</v>
          </cell>
          <cell r="F370">
            <v>152.39999999999998</v>
          </cell>
          <cell r="G370">
            <v>0</v>
          </cell>
        </row>
        <row r="371">
          <cell r="A371">
            <v>368</v>
          </cell>
          <cell r="B371" t="str">
            <v>LAMINADOS UPN</v>
          </cell>
          <cell r="C371" t="str">
            <v>Perfiles UPN 300</v>
          </cell>
          <cell r="D371">
            <v>46.2</v>
          </cell>
          <cell r="E371">
            <v>46.2</v>
          </cell>
          <cell r="F371">
            <v>177.79999999999998</v>
          </cell>
          <cell r="G371">
            <v>0</v>
          </cell>
        </row>
        <row r="372">
          <cell r="A372">
            <v>369</v>
          </cell>
          <cell r="B372" t="str">
            <v>LAMINADOS UPN</v>
          </cell>
          <cell r="C372" t="str">
            <v>Perfiles UPN 320</v>
          </cell>
          <cell r="D372">
            <v>59.5</v>
          </cell>
          <cell r="E372">
            <v>59.5</v>
          </cell>
          <cell r="F372">
            <v>203.2</v>
          </cell>
          <cell r="G372">
            <v>0</v>
          </cell>
        </row>
        <row r="373">
          <cell r="A373">
            <v>370</v>
          </cell>
          <cell r="B373" t="str">
            <v>LAMINADOS UPN</v>
          </cell>
          <cell r="C373" t="str">
            <v>Perfiles UPN 350</v>
          </cell>
          <cell r="D373">
            <v>60.6</v>
          </cell>
          <cell r="E373">
            <v>60.6</v>
          </cell>
          <cell r="F373">
            <v>228.6</v>
          </cell>
          <cell r="G373">
            <v>0</v>
          </cell>
        </row>
        <row r="374">
          <cell r="A374">
            <v>371</v>
          </cell>
          <cell r="B374" t="str">
            <v>LAMINADOS UPN</v>
          </cell>
          <cell r="C374" t="str">
            <v>Perfiles UPN 380</v>
          </cell>
          <cell r="D374">
            <v>63.1</v>
          </cell>
          <cell r="E374">
            <v>63.1</v>
          </cell>
          <cell r="F374">
            <v>254</v>
          </cell>
          <cell r="G374">
            <v>0</v>
          </cell>
        </row>
        <row r="375">
          <cell r="A375">
            <v>372</v>
          </cell>
          <cell r="B375" t="str">
            <v>LAMINADOS UPN</v>
          </cell>
          <cell r="C375" t="str">
            <v>Perfiles UPN 400</v>
          </cell>
          <cell r="D375">
            <v>71.8</v>
          </cell>
          <cell r="E375">
            <v>71.8</v>
          </cell>
          <cell r="F375">
            <v>0</v>
          </cell>
          <cell r="G375">
            <v>0</v>
          </cell>
        </row>
        <row r="376">
          <cell r="A376">
            <v>373</v>
          </cell>
          <cell r="B376" t="str">
            <v>PERFIL DOBLADO ANGULOS</v>
          </cell>
          <cell r="C376" t="str">
            <v>Angulos L 25x 3</v>
          </cell>
          <cell r="D376">
            <v>1.06</v>
          </cell>
          <cell r="E376">
            <v>1.06</v>
          </cell>
          <cell r="F376">
            <v>0</v>
          </cell>
          <cell r="G376">
            <v>0</v>
          </cell>
        </row>
        <row r="377">
          <cell r="A377">
            <v>374</v>
          </cell>
          <cell r="B377" t="str">
            <v>PERFIL DOBLADO ANGULOS</v>
          </cell>
          <cell r="C377" t="str">
            <v>Angulos L 30x 2</v>
          </cell>
          <cell r="D377">
            <v>0.89</v>
          </cell>
          <cell r="E377">
            <v>0.89</v>
          </cell>
          <cell r="F377">
            <v>0</v>
          </cell>
          <cell r="G377">
            <v>0</v>
          </cell>
        </row>
        <row r="378">
          <cell r="A378">
            <v>375</v>
          </cell>
          <cell r="B378" t="str">
            <v>PERFIL DOBLADO ANGULOS</v>
          </cell>
          <cell r="C378" t="str">
            <v>Angulos L 30x 3</v>
          </cell>
          <cell r="D378">
            <v>1.3</v>
          </cell>
          <cell r="E378">
            <v>1.3</v>
          </cell>
          <cell r="F378">
            <v>0</v>
          </cell>
          <cell r="G378">
            <v>0</v>
          </cell>
        </row>
        <row r="379">
          <cell r="A379">
            <v>376</v>
          </cell>
          <cell r="B379" t="str">
            <v>PERFIL DOBLADO ANGULOS</v>
          </cell>
          <cell r="C379" t="str">
            <v>Angulos L 30x 4</v>
          </cell>
          <cell r="D379">
            <v>1.68</v>
          </cell>
          <cell r="E379">
            <v>1.68</v>
          </cell>
          <cell r="F379">
            <v>0</v>
          </cell>
          <cell r="G379">
            <v>0</v>
          </cell>
        </row>
        <row r="380">
          <cell r="A380">
            <v>377</v>
          </cell>
          <cell r="B380" t="str">
            <v>PERFIL DOBLADO ANGULOS</v>
          </cell>
          <cell r="C380" t="str">
            <v>Angulos L 40x 2</v>
          </cell>
          <cell r="D380">
            <v>1.2</v>
          </cell>
          <cell r="E380">
            <v>1.2</v>
          </cell>
          <cell r="F380">
            <v>0</v>
          </cell>
          <cell r="G380">
            <v>0</v>
          </cell>
        </row>
        <row r="381">
          <cell r="A381">
            <v>378</v>
          </cell>
          <cell r="B381" t="str">
            <v>PERFIL DOBLADO ANGULOS</v>
          </cell>
          <cell r="C381" t="str">
            <v>Angulos L 40x 3</v>
          </cell>
          <cell r="D381">
            <v>1.77</v>
          </cell>
          <cell r="E381">
            <v>1.77</v>
          </cell>
          <cell r="F381">
            <v>0</v>
          </cell>
          <cell r="G381">
            <v>0</v>
          </cell>
        </row>
        <row r="382">
          <cell r="A382">
            <v>379</v>
          </cell>
          <cell r="B382" t="str">
            <v>PERFIL DOBLADO ANGULOS</v>
          </cell>
          <cell r="C382" t="str">
            <v>Angulos L 40x 4</v>
          </cell>
          <cell r="D382">
            <v>2.31</v>
          </cell>
          <cell r="E382">
            <v>2.31</v>
          </cell>
          <cell r="F382">
            <v>0</v>
          </cell>
          <cell r="G382">
            <v>0</v>
          </cell>
        </row>
        <row r="383">
          <cell r="A383">
            <v>380</v>
          </cell>
          <cell r="B383" t="str">
            <v>PERFIL DOBLADO ANGULOS</v>
          </cell>
          <cell r="C383" t="str">
            <v>Angulos L 40x 5</v>
          </cell>
          <cell r="D383">
            <v>2.82</v>
          </cell>
          <cell r="E383">
            <v>2.82</v>
          </cell>
          <cell r="F383">
            <v>0</v>
          </cell>
          <cell r="G383">
            <v>0</v>
          </cell>
        </row>
        <row r="384">
          <cell r="A384">
            <v>381</v>
          </cell>
          <cell r="B384" t="str">
            <v>PERFIL DOBLADO ANGULOS</v>
          </cell>
          <cell r="C384" t="str">
            <v>Angulos L 50x 2</v>
          </cell>
          <cell r="D384">
            <v>1.52</v>
          </cell>
          <cell r="E384">
            <v>1.52</v>
          </cell>
          <cell r="F384">
            <v>0</v>
          </cell>
          <cell r="G384">
            <v>0</v>
          </cell>
        </row>
        <row r="385">
          <cell r="A385">
            <v>382</v>
          </cell>
          <cell r="B385" t="str">
            <v>PERFIL DOBLADO ANGULOS</v>
          </cell>
          <cell r="C385" t="str">
            <v>Angulos L 50x 3</v>
          </cell>
          <cell r="D385">
            <v>2.2400000000000002</v>
          </cell>
          <cell r="E385">
            <v>2.2400000000000002</v>
          </cell>
          <cell r="F385">
            <v>0</v>
          </cell>
          <cell r="G385">
            <v>0</v>
          </cell>
        </row>
        <row r="386">
          <cell r="A386">
            <v>383</v>
          </cell>
          <cell r="B386" t="str">
            <v>PERFIL DOBLADO ANGULOS</v>
          </cell>
          <cell r="C386" t="str">
            <v>Angulos L 50x 4</v>
          </cell>
          <cell r="D386">
            <v>2.94</v>
          </cell>
          <cell r="E386">
            <v>2.94</v>
          </cell>
          <cell r="F386">
            <v>0</v>
          </cell>
          <cell r="G386">
            <v>0</v>
          </cell>
        </row>
        <row r="387">
          <cell r="A387">
            <v>384</v>
          </cell>
          <cell r="B387" t="str">
            <v>PERFIL DOBLADO ANGULOS</v>
          </cell>
          <cell r="C387" t="str">
            <v>Angulos L 50x 5</v>
          </cell>
          <cell r="D387">
            <v>3.6</v>
          </cell>
          <cell r="E387">
            <v>3.6</v>
          </cell>
          <cell r="F387">
            <v>0</v>
          </cell>
          <cell r="G387">
            <v>0</v>
          </cell>
        </row>
        <row r="388">
          <cell r="A388">
            <v>385</v>
          </cell>
          <cell r="B388" t="str">
            <v>PERFIL DOBLADO ANGULOS</v>
          </cell>
          <cell r="C388" t="str">
            <v>Angulos L 50x 6</v>
          </cell>
          <cell r="D388">
            <v>4.32</v>
          </cell>
          <cell r="E388">
            <v>4.32</v>
          </cell>
          <cell r="F388">
            <v>0</v>
          </cell>
          <cell r="G388">
            <v>0</v>
          </cell>
        </row>
        <row r="389">
          <cell r="A389">
            <v>386</v>
          </cell>
          <cell r="B389" t="str">
            <v>PERFIL DOBLADO ANGULOS</v>
          </cell>
          <cell r="C389" t="str">
            <v>Angulos L 60x 3</v>
          </cell>
          <cell r="D389">
            <v>2.71</v>
          </cell>
          <cell r="E389">
            <v>2.71</v>
          </cell>
          <cell r="F389">
            <v>0</v>
          </cell>
          <cell r="G389">
            <v>0</v>
          </cell>
        </row>
        <row r="390">
          <cell r="A390">
            <v>387</v>
          </cell>
          <cell r="B390" t="str">
            <v>PERFIL DOBLADO ANGULOS</v>
          </cell>
          <cell r="C390" t="str">
            <v>Angulos L 60x 4</v>
          </cell>
          <cell r="D390">
            <v>3.56</v>
          </cell>
          <cell r="E390">
            <v>3.56</v>
          </cell>
          <cell r="F390">
            <v>0</v>
          </cell>
          <cell r="G390">
            <v>0</v>
          </cell>
        </row>
        <row r="391">
          <cell r="A391">
            <v>388</v>
          </cell>
          <cell r="B391" t="str">
            <v>PERFIL DOBLADO ANGULOS</v>
          </cell>
          <cell r="C391" t="str">
            <v>Angulos L 60x 5</v>
          </cell>
          <cell r="D391">
            <v>4.3899999999999997</v>
          </cell>
          <cell r="E391">
            <v>4.3899999999999997</v>
          </cell>
          <cell r="F391">
            <v>0</v>
          </cell>
          <cell r="G391">
            <v>0</v>
          </cell>
        </row>
        <row r="392">
          <cell r="A392">
            <v>389</v>
          </cell>
          <cell r="B392" t="str">
            <v>PERFIL DOBLADO ANGULOS</v>
          </cell>
          <cell r="C392" t="str">
            <v>Angulos L 60x 6</v>
          </cell>
          <cell r="D392">
            <v>5.28</v>
          </cell>
          <cell r="E392">
            <v>5.28</v>
          </cell>
          <cell r="F392">
            <v>0</v>
          </cell>
          <cell r="G392">
            <v>0</v>
          </cell>
        </row>
        <row r="393">
          <cell r="A393">
            <v>390</v>
          </cell>
          <cell r="B393" t="str">
            <v>PERFIL DOBLADO ANGULOS</v>
          </cell>
          <cell r="C393" t="str">
            <v>Angulos L 60x 8</v>
          </cell>
          <cell r="D393">
            <v>6.84</v>
          </cell>
          <cell r="E393">
            <v>6.84</v>
          </cell>
          <cell r="F393">
            <v>0</v>
          </cell>
          <cell r="G393">
            <v>0</v>
          </cell>
        </row>
        <row r="394">
          <cell r="A394">
            <v>391</v>
          </cell>
          <cell r="B394" t="str">
            <v>PERFIL DOBLADO ANGULOS</v>
          </cell>
          <cell r="C394" t="str">
            <v>Angulos L 75x 4</v>
          </cell>
          <cell r="D394">
            <v>4.51</v>
          </cell>
          <cell r="E394">
            <v>4.51</v>
          </cell>
          <cell r="F394">
            <v>0</v>
          </cell>
          <cell r="G394">
            <v>0</v>
          </cell>
        </row>
        <row r="395">
          <cell r="A395">
            <v>392</v>
          </cell>
          <cell r="B395" t="str">
            <v>PERFIL DOBLADO ANGULOS</v>
          </cell>
          <cell r="C395" t="str">
            <v>Angulos L 75x 5</v>
          </cell>
          <cell r="D395">
            <v>5.57</v>
          </cell>
          <cell r="E395">
            <v>5.57</v>
          </cell>
          <cell r="F395">
            <v>0</v>
          </cell>
          <cell r="G395">
            <v>0</v>
          </cell>
        </row>
        <row r="396">
          <cell r="A396">
            <v>393</v>
          </cell>
          <cell r="B396" t="str">
            <v>PERFIL DOBLADO ANGULOS</v>
          </cell>
          <cell r="C396" t="str">
            <v>Angulos L 75x 6</v>
          </cell>
          <cell r="D396">
            <v>6.72</v>
          </cell>
          <cell r="E396">
            <v>6.72</v>
          </cell>
          <cell r="F396">
            <v>0</v>
          </cell>
          <cell r="G396">
            <v>0</v>
          </cell>
        </row>
        <row r="397">
          <cell r="A397">
            <v>394</v>
          </cell>
          <cell r="B397" t="str">
            <v>PERFIL DOBLADO ANGULOS</v>
          </cell>
          <cell r="C397" t="str">
            <v>Angulos L 75x 8</v>
          </cell>
          <cell r="D397">
            <v>8.76</v>
          </cell>
          <cell r="E397">
            <v>8.76</v>
          </cell>
          <cell r="F397">
            <v>0</v>
          </cell>
          <cell r="G397">
            <v>0</v>
          </cell>
        </row>
        <row r="398">
          <cell r="A398">
            <v>395</v>
          </cell>
          <cell r="B398" t="str">
            <v>PERFIL DOBLADO ANGULOS</v>
          </cell>
          <cell r="C398" t="str">
            <v>Angulos L 80x 5</v>
          </cell>
          <cell r="D398">
            <v>5.59</v>
          </cell>
          <cell r="E398">
            <v>5.59</v>
          </cell>
          <cell r="F398">
            <v>0</v>
          </cell>
          <cell r="G398">
            <v>0</v>
          </cell>
        </row>
        <row r="399">
          <cell r="A399">
            <v>396</v>
          </cell>
          <cell r="B399" t="str">
            <v>PERFIL DOBLADO ANGULOS</v>
          </cell>
          <cell r="C399" t="str">
            <v>Angulos L 80x 6</v>
          </cell>
          <cell r="D399">
            <v>7.2</v>
          </cell>
          <cell r="E399">
            <v>7.2</v>
          </cell>
          <cell r="F399">
            <v>0</v>
          </cell>
          <cell r="G399">
            <v>0</v>
          </cell>
        </row>
        <row r="400">
          <cell r="A400">
            <v>397</v>
          </cell>
          <cell r="B400" t="str">
            <v>PERFIL DOBLADO ANGULOS</v>
          </cell>
          <cell r="C400" t="str">
            <v>Angulos L 80x 8</v>
          </cell>
          <cell r="D400">
            <v>9.4</v>
          </cell>
          <cell r="E400">
            <v>9.4</v>
          </cell>
          <cell r="F400">
            <v>0</v>
          </cell>
          <cell r="G400">
            <v>0</v>
          </cell>
        </row>
        <row r="401">
          <cell r="A401">
            <v>398</v>
          </cell>
          <cell r="B401" t="str">
            <v>PERFIL DOBLADO ANGULOS</v>
          </cell>
          <cell r="C401" t="str">
            <v>Angulos L 80x 10</v>
          </cell>
          <cell r="D401">
            <v>11.49</v>
          </cell>
          <cell r="E401">
            <v>11.49</v>
          </cell>
          <cell r="F401">
            <v>0</v>
          </cell>
          <cell r="G401">
            <v>0</v>
          </cell>
        </row>
        <row r="402">
          <cell r="A402">
            <v>399</v>
          </cell>
          <cell r="B402" t="str">
            <v>PERFIL DOBLADO ANGULOS</v>
          </cell>
          <cell r="C402" t="str">
            <v>Angulos L 100x 6</v>
          </cell>
          <cell r="D402">
            <v>9.1199999999999992</v>
          </cell>
          <cell r="E402">
            <v>9.1199999999999992</v>
          </cell>
          <cell r="F402">
            <v>0</v>
          </cell>
          <cell r="G402">
            <v>0</v>
          </cell>
        </row>
        <row r="403">
          <cell r="A403">
            <v>400</v>
          </cell>
          <cell r="B403" t="str">
            <v>PERFIL DOBLADO ANGULOS</v>
          </cell>
          <cell r="C403" t="str">
            <v>Angulos L 100x 8</v>
          </cell>
          <cell r="D403">
            <v>11.96</v>
          </cell>
          <cell r="E403">
            <v>11.96</v>
          </cell>
          <cell r="F403">
            <v>0</v>
          </cell>
          <cell r="G403">
            <v>0</v>
          </cell>
        </row>
        <row r="404">
          <cell r="A404">
            <v>401</v>
          </cell>
          <cell r="B404" t="str">
            <v>PERFIL DOBLADO ANGULOS</v>
          </cell>
          <cell r="C404" t="str">
            <v>Angulos L 100x 10</v>
          </cell>
          <cell r="D404">
            <v>14.69</v>
          </cell>
          <cell r="E404">
            <v>14.69</v>
          </cell>
          <cell r="F404">
            <v>0</v>
          </cell>
          <cell r="G404">
            <v>0</v>
          </cell>
        </row>
        <row r="405">
          <cell r="A405">
            <v>402</v>
          </cell>
          <cell r="B405" t="str">
            <v>PERFIL DOBLADO ANGULOS</v>
          </cell>
          <cell r="C405" t="str">
            <v>Angulos L 125x 6</v>
          </cell>
          <cell r="D405">
            <v>11.52</v>
          </cell>
          <cell r="E405">
            <v>11.52</v>
          </cell>
          <cell r="F405">
            <v>0</v>
          </cell>
          <cell r="G405">
            <v>0</v>
          </cell>
        </row>
        <row r="406">
          <cell r="A406">
            <v>403</v>
          </cell>
          <cell r="B406" t="str">
            <v>PERFIL DOBLADO ANGULOS</v>
          </cell>
          <cell r="C406" t="str">
            <v>Angulos L 125x 8</v>
          </cell>
          <cell r="D406">
            <v>15.16</v>
          </cell>
          <cell r="E406">
            <v>15.16</v>
          </cell>
          <cell r="F406">
            <v>0</v>
          </cell>
          <cell r="G406">
            <v>0</v>
          </cell>
        </row>
        <row r="407">
          <cell r="A407">
            <v>404</v>
          </cell>
          <cell r="B407" t="str">
            <v>PERFIL DOBLADO ANGULOS</v>
          </cell>
          <cell r="C407" t="str">
            <v>Angulos L 125x 10</v>
          </cell>
          <cell r="D407">
            <v>18.690000000000001</v>
          </cell>
          <cell r="E407">
            <v>18.690000000000001</v>
          </cell>
          <cell r="F407">
            <v>0</v>
          </cell>
          <cell r="G407">
            <v>0</v>
          </cell>
        </row>
        <row r="408">
          <cell r="A408">
            <v>405</v>
          </cell>
          <cell r="B408" t="str">
            <v>PERFIL DOBLADO ANGULOS</v>
          </cell>
          <cell r="C408" t="str">
            <v>Angulos L 150x 6</v>
          </cell>
          <cell r="D408">
            <v>13.92</v>
          </cell>
          <cell r="E408">
            <v>13.92</v>
          </cell>
          <cell r="F408">
            <v>0</v>
          </cell>
          <cell r="G408">
            <v>0</v>
          </cell>
        </row>
        <row r="409">
          <cell r="A409">
            <v>406</v>
          </cell>
          <cell r="B409" t="str">
            <v>PERFIL DOBLADO ANGULOS</v>
          </cell>
          <cell r="C409" t="str">
            <v>Angulos L 150x 8</v>
          </cell>
          <cell r="D409">
            <v>18.36</v>
          </cell>
          <cell r="E409">
            <v>18.36</v>
          </cell>
          <cell r="F409">
            <v>0</v>
          </cell>
          <cell r="G409">
            <v>0</v>
          </cell>
        </row>
        <row r="410">
          <cell r="A410">
            <v>407</v>
          </cell>
          <cell r="B410" t="str">
            <v>PERFIL DOBLADO ANGULOS</v>
          </cell>
          <cell r="C410" t="str">
            <v>Angulos L 150x 10</v>
          </cell>
          <cell r="D410">
            <v>22.69</v>
          </cell>
          <cell r="E410">
            <v>22.69</v>
          </cell>
          <cell r="F410">
            <v>0</v>
          </cell>
          <cell r="G410">
            <v>0</v>
          </cell>
        </row>
        <row r="411">
          <cell r="A411">
            <v>408</v>
          </cell>
          <cell r="B411" t="str">
            <v>PERFIL DOBLADO ANGULOS</v>
          </cell>
          <cell r="C411" t="str">
            <v>Angulos L 200x 6</v>
          </cell>
          <cell r="D411">
            <v>18.72</v>
          </cell>
          <cell r="E411">
            <v>18.72</v>
          </cell>
          <cell r="F411">
            <v>0</v>
          </cell>
          <cell r="G411">
            <v>0</v>
          </cell>
        </row>
        <row r="412">
          <cell r="A412">
            <v>409</v>
          </cell>
          <cell r="B412" t="str">
            <v>PERFIL DOBLADO ANGULOS</v>
          </cell>
          <cell r="C412" t="str">
            <v>Angulos L 200x 8</v>
          </cell>
          <cell r="D412">
            <v>24.76</v>
          </cell>
          <cell r="E412">
            <v>24.76</v>
          </cell>
          <cell r="F412">
            <v>0</v>
          </cell>
          <cell r="G412">
            <v>0</v>
          </cell>
        </row>
        <row r="413">
          <cell r="A413">
            <v>410</v>
          </cell>
          <cell r="B413" t="str">
            <v>PERFIL DOBLADO ANGULOS</v>
          </cell>
          <cell r="C413" t="str">
            <v>Angulos L 200x 10</v>
          </cell>
          <cell r="D413">
            <v>30.69</v>
          </cell>
          <cell r="E413">
            <v>30.69</v>
          </cell>
          <cell r="F413">
            <v>0</v>
          </cell>
          <cell r="G413">
            <v>0</v>
          </cell>
        </row>
        <row r="414">
          <cell r="A414">
            <v>411</v>
          </cell>
          <cell r="B414" t="str">
            <v>PERFIL DOBLADO ANGULOS</v>
          </cell>
          <cell r="C414" t="str">
            <v>Angulos L 250x 6</v>
          </cell>
          <cell r="D414">
            <v>23.52</v>
          </cell>
          <cell r="E414">
            <v>23.52</v>
          </cell>
          <cell r="F414">
            <v>0</v>
          </cell>
          <cell r="G414">
            <v>0</v>
          </cell>
        </row>
        <row r="415">
          <cell r="A415">
            <v>412</v>
          </cell>
          <cell r="B415" t="str">
            <v>PERFIL DOBLADO ANGULOS</v>
          </cell>
          <cell r="C415" t="str">
            <v>Angulos L 250x 8</v>
          </cell>
          <cell r="D415">
            <v>31.16</v>
          </cell>
          <cell r="E415">
            <v>31.16</v>
          </cell>
          <cell r="F415">
            <v>0</v>
          </cell>
          <cell r="G415">
            <v>0</v>
          </cell>
        </row>
        <row r="416">
          <cell r="A416">
            <v>413</v>
          </cell>
          <cell r="B416" t="str">
            <v>PERFIL DOBLADO ANGULOS</v>
          </cell>
          <cell r="C416" t="str">
            <v>Angulos L 250x 10</v>
          </cell>
          <cell r="D416">
            <v>38.69</v>
          </cell>
          <cell r="E416">
            <v>38.69</v>
          </cell>
          <cell r="F416">
            <v>0</v>
          </cell>
          <cell r="G416">
            <v>0</v>
          </cell>
        </row>
        <row r="417">
          <cell r="A417">
            <v>414</v>
          </cell>
          <cell r="B417" t="str">
            <v>PERFIL DOBLADO ANGULOS</v>
          </cell>
          <cell r="C417" t="str">
            <v>Angulos L 25x 2</v>
          </cell>
          <cell r="D417">
            <v>0.73</v>
          </cell>
          <cell r="E417">
            <v>0.73</v>
          </cell>
          <cell r="F417">
            <v>0</v>
          </cell>
          <cell r="G417">
            <v>0</v>
          </cell>
        </row>
        <row r="418">
          <cell r="A418">
            <v>415</v>
          </cell>
          <cell r="B418" t="str">
            <v>PERFIL DOBLADO CANAL</v>
          </cell>
          <cell r="C418" t="str">
            <v>Canales U 50x 25x 2</v>
          </cell>
          <cell r="D418">
            <v>1.47</v>
          </cell>
          <cell r="E418">
            <v>1.47</v>
          </cell>
          <cell r="F418">
            <v>0</v>
          </cell>
          <cell r="G418">
            <v>0</v>
          </cell>
        </row>
        <row r="419">
          <cell r="A419">
            <v>416</v>
          </cell>
          <cell r="B419" t="str">
            <v>PERFIL DOBLADO CANAL</v>
          </cell>
          <cell r="C419" t="str">
            <v>Canales U 50x 25x 3</v>
          </cell>
          <cell r="D419">
            <v>2.12</v>
          </cell>
          <cell r="E419">
            <v>2.12</v>
          </cell>
          <cell r="F419">
            <v>0</v>
          </cell>
          <cell r="G419">
            <v>0</v>
          </cell>
        </row>
        <row r="420">
          <cell r="A420">
            <v>417</v>
          </cell>
          <cell r="B420" t="str">
            <v>PERFIL DOBLADO CANAL</v>
          </cell>
          <cell r="C420" t="str">
            <v>Canales U 80x 40x 2</v>
          </cell>
          <cell r="D420">
            <v>2.41</v>
          </cell>
          <cell r="E420">
            <v>2.41</v>
          </cell>
          <cell r="F420">
            <v>0</v>
          </cell>
          <cell r="G420">
            <v>0</v>
          </cell>
        </row>
        <row r="421">
          <cell r="A421">
            <v>418</v>
          </cell>
          <cell r="B421" t="str">
            <v>PERFIL DOBLADO CANAL</v>
          </cell>
          <cell r="C421" t="str">
            <v>Canales U 80x 40x 3</v>
          </cell>
          <cell r="D421">
            <v>3.54</v>
          </cell>
          <cell r="E421">
            <v>3.54</v>
          </cell>
          <cell r="F421">
            <v>0</v>
          </cell>
          <cell r="G421">
            <v>0</v>
          </cell>
        </row>
        <row r="422">
          <cell r="A422">
            <v>419</v>
          </cell>
          <cell r="B422" t="str">
            <v>PERFIL DOBLADO CANAL</v>
          </cell>
          <cell r="C422" t="str">
            <v>Canales U 80x 40x 4</v>
          </cell>
          <cell r="D422">
            <v>4.6100000000000003</v>
          </cell>
          <cell r="E422">
            <v>4.6100000000000003</v>
          </cell>
          <cell r="F422">
            <v>20</v>
          </cell>
          <cell r="G422">
            <v>0</v>
          </cell>
        </row>
        <row r="423">
          <cell r="A423">
            <v>420</v>
          </cell>
          <cell r="B423" t="str">
            <v>PERFIL DOBLADO CANAL</v>
          </cell>
          <cell r="C423" t="str">
            <v>Canales U 80x 40x 5</v>
          </cell>
          <cell r="D423">
            <v>5.74</v>
          </cell>
          <cell r="E423">
            <v>5.74</v>
          </cell>
          <cell r="F423">
            <v>20</v>
          </cell>
          <cell r="G423">
            <v>0</v>
          </cell>
        </row>
        <row r="424">
          <cell r="A424">
            <v>421</v>
          </cell>
          <cell r="B424" t="str">
            <v>PERFIL DOBLADO CANAL</v>
          </cell>
          <cell r="C424" t="str">
            <v>Canales U 80x 40x 6</v>
          </cell>
          <cell r="D424">
            <v>6.74</v>
          </cell>
          <cell r="E424">
            <v>6.74</v>
          </cell>
          <cell r="F424">
            <v>20</v>
          </cell>
          <cell r="G424">
            <v>0</v>
          </cell>
        </row>
        <row r="425">
          <cell r="A425">
            <v>422</v>
          </cell>
          <cell r="B425" t="str">
            <v>PERFIL DOBLADO CANAL</v>
          </cell>
          <cell r="C425" t="str">
            <v>Canales U 100x 50x2</v>
          </cell>
          <cell r="D425">
            <v>3.04</v>
          </cell>
          <cell r="E425">
            <v>3.04</v>
          </cell>
          <cell r="F425">
            <v>20</v>
          </cell>
          <cell r="G425">
            <v>0</v>
          </cell>
        </row>
        <row r="426">
          <cell r="A426">
            <v>423</v>
          </cell>
          <cell r="B426" t="str">
            <v>PERFIL DOBLADO CANAL</v>
          </cell>
          <cell r="C426" t="str">
            <v>Canales U 100x 50x3</v>
          </cell>
          <cell r="D426">
            <v>4.4800000000000004</v>
          </cell>
          <cell r="E426">
            <v>4.4800000000000004</v>
          </cell>
          <cell r="F426">
            <v>20</v>
          </cell>
          <cell r="G426">
            <v>0</v>
          </cell>
        </row>
        <row r="427">
          <cell r="A427">
            <v>424</v>
          </cell>
          <cell r="B427" t="str">
            <v>PERFIL DOBLADO CANAL</v>
          </cell>
          <cell r="C427" t="str">
            <v>Canales U 100x 50x4</v>
          </cell>
          <cell r="D427">
            <v>5.87</v>
          </cell>
          <cell r="E427">
            <v>5.87</v>
          </cell>
          <cell r="F427">
            <v>20</v>
          </cell>
          <cell r="G427">
            <v>0</v>
          </cell>
        </row>
        <row r="428">
          <cell r="A428">
            <v>425</v>
          </cell>
          <cell r="B428" t="str">
            <v>PERFIL DOBLADO CANAL</v>
          </cell>
          <cell r="C428" t="str">
            <v>Canales U 100x 50x5</v>
          </cell>
          <cell r="D428">
            <v>7.2</v>
          </cell>
          <cell r="E428">
            <v>7.2</v>
          </cell>
          <cell r="F428">
            <v>20</v>
          </cell>
          <cell r="G428">
            <v>0</v>
          </cell>
        </row>
        <row r="429">
          <cell r="A429">
            <v>426</v>
          </cell>
          <cell r="B429" t="str">
            <v>PERFIL DOBLADO CANAL</v>
          </cell>
          <cell r="C429" t="str">
            <v>Canales U 100x 50x6</v>
          </cell>
          <cell r="D429">
            <v>8.66</v>
          </cell>
          <cell r="E429">
            <v>8.66</v>
          </cell>
          <cell r="F429">
            <v>20</v>
          </cell>
          <cell r="G429">
            <v>0</v>
          </cell>
        </row>
        <row r="430">
          <cell r="A430">
            <v>427</v>
          </cell>
          <cell r="B430" t="str">
            <v>PERFIL DOBLADO CANAL</v>
          </cell>
          <cell r="C430" t="str">
            <v>Canales U 100x 60x 6</v>
          </cell>
          <cell r="D430">
            <v>9.6199999999999992</v>
          </cell>
          <cell r="E430">
            <v>9.6199999999999992</v>
          </cell>
          <cell r="F430">
            <v>20</v>
          </cell>
          <cell r="G430">
            <v>0</v>
          </cell>
        </row>
        <row r="431">
          <cell r="A431">
            <v>428</v>
          </cell>
          <cell r="B431" t="str">
            <v>PERFIL DOBLADO CANAL</v>
          </cell>
          <cell r="C431" t="str">
            <v>Canales U 100x 60x 8</v>
          </cell>
          <cell r="D431">
            <v>12.4</v>
          </cell>
          <cell r="E431">
            <v>12.4</v>
          </cell>
          <cell r="F431">
            <v>20</v>
          </cell>
          <cell r="G431">
            <v>0</v>
          </cell>
        </row>
        <row r="432">
          <cell r="A432">
            <v>429</v>
          </cell>
          <cell r="B432" t="str">
            <v>PERFIL DOBLADO CANAL</v>
          </cell>
          <cell r="C432" t="str">
            <v>Canales U 125x 50x 2</v>
          </cell>
          <cell r="D432">
            <v>3.43</v>
          </cell>
          <cell r="E432">
            <v>3.43</v>
          </cell>
          <cell r="F432">
            <v>20</v>
          </cell>
          <cell r="G432">
            <v>0</v>
          </cell>
        </row>
        <row r="433">
          <cell r="A433">
            <v>430</v>
          </cell>
          <cell r="B433" t="str">
            <v>PERFIL DOBLADO CANAL</v>
          </cell>
          <cell r="C433" t="str">
            <v>Canales U 125x 50x 3</v>
          </cell>
          <cell r="D433">
            <v>5.07</v>
          </cell>
          <cell r="E433">
            <v>5.07</v>
          </cell>
          <cell r="F433">
            <v>20</v>
          </cell>
          <cell r="G433">
            <v>0</v>
          </cell>
        </row>
        <row r="434">
          <cell r="A434">
            <v>431</v>
          </cell>
          <cell r="B434" t="str">
            <v>PERFIL DOBLADO CANAL</v>
          </cell>
          <cell r="C434" t="str">
            <v>Canales U 125x 50x 4</v>
          </cell>
          <cell r="D434">
            <v>6.65</v>
          </cell>
          <cell r="E434">
            <v>6.65</v>
          </cell>
          <cell r="F434">
            <v>25</v>
          </cell>
          <cell r="G434">
            <v>0</v>
          </cell>
        </row>
        <row r="435">
          <cell r="A435">
            <v>432</v>
          </cell>
          <cell r="B435" t="str">
            <v>PERFIL DOBLADO CANAL</v>
          </cell>
          <cell r="C435" t="str">
            <v>Canales U 125x 50x 5</v>
          </cell>
          <cell r="D435">
            <v>8.19</v>
          </cell>
          <cell r="E435">
            <v>8.19</v>
          </cell>
          <cell r="F435">
            <v>30</v>
          </cell>
          <cell r="G435">
            <v>0</v>
          </cell>
        </row>
        <row r="436">
          <cell r="A436">
            <v>433</v>
          </cell>
          <cell r="B436" t="str">
            <v>PERFIL DOBLADO CANAL</v>
          </cell>
          <cell r="C436" t="str">
            <v>Canales U 125x 50x 6</v>
          </cell>
          <cell r="D436">
            <v>9.86</v>
          </cell>
          <cell r="E436">
            <v>9.86</v>
          </cell>
          <cell r="F436">
            <v>38.099999999999994</v>
          </cell>
          <cell r="G436">
            <v>0</v>
          </cell>
        </row>
        <row r="437">
          <cell r="A437">
            <v>434</v>
          </cell>
          <cell r="B437" t="str">
            <v>PERFIL DOBLADO CANAL</v>
          </cell>
          <cell r="C437" t="str">
            <v>Canales U 125x 60x 6</v>
          </cell>
          <cell r="D437">
            <v>10.82</v>
          </cell>
          <cell r="E437">
            <v>10.82</v>
          </cell>
          <cell r="F437">
            <v>38.099999999999994</v>
          </cell>
          <cell r="G437">
            <v>0</v>
          </cell>
        </row>
        <row r="438">
          <cell r="A438">
            <v>435</v>
          </cell>
          <cell r="B438" t="str">
            <v>PERFIL DOBLADO CANAL</v>
          </cell>
          <cell r="C438" t="str">
            <v>Canales U 125x 60x 8</v>
          </cell>
          <cell r="D438">
            <v>14</v>
          </cell>
          <cell r="E438">
            <v>14</v>
          </cell>
          <cell r="F438">
            <v>38.099999999999994</v>
          </cell>
          <cell r="G438">
            <v>0</v>
          </cell>
        </row>
        <row r="439">
          <cell r="A439">
            <v>436</v>
          </cell>
          <cell r="B439" t="str">
            <v>PERFIL DOBLADO CANAL</v>
          </cell>
          <cell r="C439" t="str">
            <v>Canales U 125x 80x 6</v>
          </cell>
          <cell r="D439">
            <v>12.74</v>
          </cell>
          <cell r="E439">
            <v>12.74</v>
          </cell>
          <cell r="F439">
            <v>44.449999999999996</v>
          </cell>
          <cell r="G439">
            <v>0</v>
          </cell>
        </row>
        <row r="440">
          <cell r="A440">
            <v>437</v>
          </cell>
          <cell r="B440" t="str">
            <v>PERFIL DOBLADO CANAL</v>
          </cell>
          <cell r="C440" t="str">
            <v>Canales U 125x 80x 8</v>
          </cell>
          <cell r="D440">
            <v>16.55</v>
          </cell>
          <cell r="E440">
            <v>16.55</v>
          </cell>
          <cell r="F440">
            <v>44.449999999999996</v>
          </cell>
          <cell r="G440">
            <v>0</v>
          </cell>
        </row>
        <row r="441">
          <cell r="A441">
            <v>438</v>
          </cell>
          <cell r="B441" t="str">
            <v>PERFIL DOBLADO CANAL</v>
          </cell>
          <cell r="C441" t="str">
            <v>Canales U 125x 80x 10</v>
          </cell>
          <cell r="D441">
            <v>20.16</v>
          </cell>
          <cell r="E441">
            <v>20.16</v>
          </cell>
          <cell r="F441">
            <v>44.449999999999996</v>
          </cell>
          <cell r="G441">
            <v>0</v>
          </cell>
        </row>
        <row r="442">
          <cell r="A442">
            <v>439</v>
          </cell>
          <cell r="B442" t="str">
            <v>PERFIL DOBLADO CANAL</v>
          </cell>
          <cell r="C442" t="str">
            <v>Canales U 150x 50x 2</v>
          </cell>
          <cell r="D442">
            <v>3.82</v>
          </cell>
          <cell r="E442">
            <v>3.82</v>
          </cell>
          <cell r="F442">
            <v>50.8</v>
          </cell>
          <cell r="G442">
            <v>0</v>
          </cell>
        </row>
        <row r="443">
          <cell r="A443">
            <v>440</v>
          </cell>
          <cell r="B443" t="str">
            <v>PERFIL DOBLADO CANAL</v>
          </cell>
          <cell r="C443" t="str">
            <v>Canales U 150x 50x 3</v>
          </cell>
          <cell r="D443">
            <v>5.66</v>
          </cell>
          <cell r="E443">
            <v>5.66</v>
          </cell>
          <cell r="F443">
            <v>50.8</v>
          </cell>
          <cell r="G443">
            <v>0</v>
          </cell>
        </row>
        <row r="444">
          <cell r="A444">
            <v>441</v>
          </cell>
          <cell r="B444" t="str">
            <v>PERFIL DOBLADO CANAL</v>
          </cell>
          <cell r="C444" t="str">
            <v>Canales U 150x 50x 4</v>
          </cell>
          <cell r="D444">
            <v>7.44</v>
          </cell>
          <cell r="E444">
            <v>7.44</v>
          </cell>
          <cell r="F444">
            <v>50.8</v>
          </cell>
          <cell r="G444">
            <v>0</v>
          </cell>
        </row>
        <row r="445">
          <cell r="A445">
            <v>442</v>
          </cell>
          <cell r="B445" t="str">
            <v>PERFIL DOBLADO CANAL</v>
          </cell>
          <cell r="C445" t="str">
            <v>Canales U 150x 50x 5</v>
          </cell>
          <cell r="D445">
            <v>9.17</v>
          </cell>
          <cell r="E445">
            <v>9.17</v>
          </cell>
          <cell r="F445">
            <v>63.5</v>
          </cell>
          <cell r="G445">
            <v>0</v>
          </cell>
        </row>
        <row r="446">
          <cell r="A446">
            <v>443</v>
          </cell>
          <cell r="B446" t="str">
            <v>PERFIL DOBLADO CANAL</v>
          </cell>
          <cell r="C446" t="str">
            <v>Canales U 150x 50x 6</v>
          </cell>
          <cell r="D446">
            <v>11.06</v>
          </cell>
          <cell r="E446">
            <v>11.06</v>
          </cell>
          <cell r="F446">
            <v>63.5</v>
          </cell>
          <cell r="G446">
            <v>0</v>
          </cell>
        </row>
        <row r="447">
          <cell r="A447">
            <v>444</v>
          </cell>
          <cell r="B447" t="str">
            <v>PERFIL DOBLADO CANAL</v>
          </cell>
          <cell r="C447" t="str">
            <v>Canales U 150x 60x 6</v>
          </cell>
          <cell r="D447">
            <v>12.02</v>
          </cell>
          <cell r="E447">
            <v>12.02</v>
          </cell>
          <cell r="F447">
            <v>76.199999999999989</v>
          </cell>
          <cell r="G447">
            <v>0</v>
          </cell>
        </row>
        <row r="448">
          <cell r="A448">
            <v>445</v>
          </cell>
          <cell r="B448" t="str">
            <v>PERFIL DOBLADO CANAL</v>
          </cell>
          <cell r="C448" t="str">
            <v>Canales U 150x 60x 8</v>
          </cell>
          <cell r="D448">
            <v>15.6</v>
          </cell>
          <cell r="E448">
            <v>15.6</v>
          </cell>
          <cell r="F448">
            <v>76.199999999999989</v>
          </cell>
          <cell r="G448">
            <v>0</v>
          </cell>
        </row>
        <row r="449">
          <cell r="A449">
            <v>446</v>
          </cell>
          <cell r="B449" t="str">
            <v>PERFIL DOBLADO CANAL</v>
          </cell>
          <cell r="C449" t="str">
            <v>Canales U 150x 80x 6</v>
          </cell>
          <cell r="D449">
            <v>13.94</v>
          </cell>
          <cell r="E449">
            <v>13.94</v>
          </cell>
          <cell r="F449">
            <v>76.199999999999989</v>
          </cell>
          <cell r="G449">
            <v>0</v>
          </cell>
        </row>
        <row r="450">
          <cell r="A450">
            <v>447</v>
          </cell>
          <cell r="B450" t="str">
            <v>PERFIL DOBLADO CANAL</v>
          </cell>
          <cell r="C450" t="str">
            <v>Canales U 150x 80x 8</v>
          </cell>
          <cell r="D450">
            <v>18.149999999999999</v>
          </cell>
          <cell r="E450">
            <v>18.149999999999999</v>
          </cell>
          <cell r="F450">
            <v>76.199999999999989</v>
          </cell>
          <cell r="G450">
            <v>0</v>
          </cell>
        </row>
        <row r="451">
          <cell r="A451">
            <v>448</v>
          </cell>
          <cell r="B451" t="str">
            <v>PERFIL DOBLADO CANAL</v>
          </cell>
          <cell r="C451" t="str">
            <v>Canales U 150x 80x 10</v>
          </cell>
          <cell r="D451">
            <v>22.16</v>
          </cell>
          <cell r="E451">
            <v>22.16</v>
          </cell>
          <cell r="F451">
            <v>89</v>
          </cell>
          <cell r="G451">
            <v>0</v>
          </cell>
        </row>
        <row r="452">
          <cell r="A452">
            <v>449</v>
          </cell>
          <cell r="B452" t="str">
            <v>PERFIL DOBLADO CANAL</v>
          </cell>
          <cell r="C452" t="str">
            <v>Canales U 200x 50x 2</v>
          </cell>
          <cell r="D452">
            <v>4.6100000000000003</v>
          </cell>
          <cell r="E452">
            <v>4.6100000000000003</v>
          </cell>
          <cell r="F452">
            <v>89</v>
          </cell>
          <cell r="G452">
            <v>0</v>
          </cell>
        </row>
        <row r="453">
          <cell r="A453">
            <v>450</v>
          </cell>
          <cell r="B453" t="str">
            <v>PERFIL DOBLADO CANAL</v>
          </cell>
          <cell r="C453" t="str">
            <v>Canales U 200x 50x 3</v>
          </cell>
          <cell r="D453">
            <v>6.83</v>
          </cell>
          <cell r="E453">
            <v>6.83</v>
          </cell>
          <cell r="F453">
            <v>89</v>
          </cell>
          <cell r="G453">
            <v>0</v>
          </cell>
        </row>
        <row r="454">
          <cell r="A454">
            <v>451</v>
          </cell>
          <cell r="B454" t="str">
            <v>PERFIL DOBLADO CANAL</v>
          </cell>
          <cell r="C454" t="str">
            <v>Canales U 200x 50x 4</v>
          </cell>
          <cell r="D454">
            <v>9.01</v>
          </cell>
          <cell r="E454">
            <v>9.01</v>
          </cell>
          <cell r="F454">
            <v>89</v>
          </cell>
          <cell r="G454">
            <v>0</v>
          </cell>
        </row>
        <row r="455">
          <cell r="A455">
            <v>452</v>
          </cell>
          <cell r="B455" t="str">
            <v>PERFIL DOBLADO CANAL</v>
          </cell>
          <cell r="C455" t="str">
            <v>Canales U 200x 50x 5</v>
          </cell>
          <cell r="D455">
            <v>11.1</v>
          </cell>
          <cell r="E455">
            <v>11.1</v>
          </cell>
          <cell r="F455">
            <v>101.6</v>
          </cell>
          <cell r="G455">
            <v>0</v>
          </cell>
        </row>
        <row r="456">
          <cell r="A456">
            <v>453</v>
          </cell>
          <cell r="B456" t="str">
            <v>PERFIL DOBLADO CANAL</v>
          </cell>
          <cell r="C456" t="str">
            <v>Canales U 200x 50x 6</v>
          </cell>
          <cell r="D456">
            <v>13.45</v>
          </cell>
          <cell r="E456">
            <v>13.45</v>
          </cell>
          <cell r="F456">
            <v>101.6</v>
          </cell>
          <cell r="G456">
            <v>0</v>
          </cell>
        </row>
        <row r="457">
          <cell r="A457">
            <v>454</v>
          </cell>
          <cell r="B457" t="str">
            <v>PERFIL DOBLADO CANAL</v>
          </cell>
          <cell r="C457" t="str">
            <v>Canales U 200x 60x 6</v>
          </cell>
          <cell r="D457">
            <v>14.42</v>
          </cell>
          <cell r="E457">
            <v>14.42</v>
          </cell>
          <cell r="F457">
            <v>101.6</v>
          </cell>
          <cell r="G457">
            <v>0</v>
          </cell>
        </row>
        <row r="458">
          <cell r="A458">
            <v>455</v>
          </cell>
          <cell r="B458" t="str">
            <v>PERFIL DOBLADO CANAL</v>
          </cell>
          <cell r="C458" t="str">
            <v>Canales U 200x 60x 8</v>
          </cell>
          <cell r="D458">
            <v>18.8</v>
          </cell>
          <cell r="E458">
            <v>18.8</v>
          </cell>
          <cell r="F458">
            <v>101.6</v>
          </cell>
          <cell r="G458">
            <v>0</v>
          </cell>
        </row>
        <row r="459">
          <cell r="A459">
            <v>456</v>
          </cell>
          <cell r="B459" t="str">
            <v>PERFIL DOBLADO CANAL</v>
          </cell>
          <cell r="C459" t="str">
            <v>Canales U 200x 80x 6</v>
          </cell>
          <cell r="D459">
            <v>16.34</v>
          </cell>
          <cell r="E459">
            <v>16.34</v>
          </cell>
          <cell r="F459">
            <v>101.6</v>
          </cell>
          <cell r="G459">
            <v>0</v>
          </cell>
        </row>
        <row r="460">
          <cell r="A460">
            <v>457</v>
          </cell>
          <cell r="B460" t="str">
            <v>PERFIL DOBLADO CANAL</v>
          </cell>
          <cell r="C460" t="str">
            <v>Canales U 200x 80x 8</v>
          </cell>
          <cell r="D460">
            <v>21.35</v>
          </cell>
          <cell r="E460">
            <v>21.35</v>
          </cell>
          <cell r="F460">
            <v>101.6</v>
          </cell>
          <cell r="G460">
            <v>0</v>
          </cell>
        </row>
        <row r="461">
          <cell r="A461">
            <v>458</v>
          </cell>
          <cell r="B461" t="str">
            <v>PERFIL DOBLADO CANAL</v>
          </cell>
          <cell r="C461" t="str">
            <v>Canales U 200x 80x 10</v>
          </cell>
          <cell r="D461">
            <v>26.16</v>
          </cell>
          <cell r="E461">
            <v>26.16</v>
          </cell>
          <cell r="F461">
            <v>127</v>
          </cell>
          <cell r="G461">
            <v>0</v>
          </cell>
        </row>
        <row r="462">
          <cell r="A462">
            <v>459</v>
          </cell>
          <cell r="B462" t="str">
            <v>PERFIL DOBLADO CANAL</v>
          </cell>
          <cell r="C462" t="str">
            <v>Canales U 200x 100x 6</v>
          </cell>
          <cell r="D462">
            <v>18.260000000000002</v>
          </cell>
          <cell r="E462">
            <v>18.260000000000002</v>
          </cell>
          <cell r="F462">
            <v>127</v>
          </cell>
          <cell r="G462">
            <v>0</v>
          </cell>
        </row>
        <row r="463">
          <cell r="A463">
            <v>460</v>
          </cell>
          <cell r="B463" t="str">
            <v>PERFIL DOBLADO CANAL</v>
          </cell>
          <cell r="C463" t="str">
            <v>Canales U 200x 100x 8</v>
          </cell>
          <cell r="D463">
            <v>23.91</v>
          </cell>
          <cell r="E463">
            <v>23.91</v>
          </cell>
          <cell r="F463">
            <v>127</v>
          </cell>
          <cell r="G463">
            <v>0</v>
          </cell>
        </row>
        <row r="464">
          <cell r="A464">
            <v>461</v>
          </cell>
          <cell r="B464" t="str">
            <v>PERFIL DOBLADO CANAL</v>
          </cell>
          <cell r="C464" t="str">
            <v>Canales U 200x 100x 10</v>
          </cell>
          <cell r="D464">
            <v>29.36</v>
          </cell>
          <cell r="E464">
            <v>29.36</v>
          </cell>
          <cell r="F464">
            <v>127</v>
          </cell>
          <cell r="G464">
            <v>0</v>
          </cell>
        </row>
        <row r="465">
          <cell r="A465">
            <v>462</v>
          </cell>
          <cell r="B465" t="str">
            <v>PERFIL DOBLADO CANAL</v>
          </cell>
          <cell r="C465" t="str">
            <v>Canales U 250x 80x 6</v>
          </cell>
          <cell r="D465">
            <v>18.739999999999998</v>
          </cell>
          <cell r="E465">
            <v>18.739999999999998</v>
          </cell>
          <cell r="F465">
            <v>127</v>
          </cell>
          <cell r="G465">
            <v>0</v>
          </cell>
        </row>
        <row r="466">
          <cell r="A466">
            <v>463</v>
          </cell>
          <cell r="B466" t="str">
            <v>PERFIL DOBLADO CANAL</v>
          </cell>
          <cell r="C466" t="str">
            <v>Canales U 250x 80x 8</v>
          </cell>
          <cell r="D466">
            <v>24.55</v>
          </cell>
          <cell r="E466">
            <v>24.55</v>
          </cell>
          <cell r="F466">
            <v>127</v>
          </cell>
          <cell r="G466">
            <v>0</v>
          </cell>
        </row>
        <row r="467">
          <cell r="A467">
            <v>464</v>
          </cell>
          <cell r="B467" t="str">
            <v>PERFIL DOBLADO CANAL</v>
          </cell>
          <cell r="C467" t="str">
            <v>Canales U 250x 80x 10</v>
          </cell>
          <cell r="D467">
            <v>30.16</v>
          </cell>
          <cell r="E467">
            <v>30.16</v>
          </cell>
          <cell r="F467">
            <v>127</v>
          </cell>
          <cell r="G467">
            <v>0</v>
          </cell>
        </row>
        <row r="468">
          <cell r="A468">
            <v>465</v>
          </cell>
          <cell r="B468" t="str">
            <v>PERFIL DOBLADO CANAL</v>
          </cell>
          <cell r="C468" t="str">
            <v>Canales U 250x 100x 6</v>
          </cell>
          <cell r="D468">
            <v>20.66</v>
          </cell>
          <cell r="E468">
            <v>20.66</v>
          </cell>
          <cell r="F468">
            <v>152.39999999999998</v>
          </cell>
          <cell r="G468">
            <v>0</v>
          </cell>
        </row>
        <row r="469">
          <cell r="A469">
            <v>466</v>
          </cell>
          <cell r="B469" t="str">
            <v>PERFIL DOBLADO CANAL</v>
          </cell>
          <cell r="C469" t="str">
            <v>Canales U 250x 100x 8</v>
          </cell>
          <cell r="D469">
            <v>27.11</v>
          </cell>
          <cell r="E469">
            <v>27.11</v>
          </cell>
          <cell r="F469">
            <v>152.39999999999998</v>
          </cell>
          <cell r="G469">
            <v>0</v>
          </cell>
        </row>
        <row r="470">
          <cell r="A470">
            <v>467</v>
          </cell>
          <cell r="B470" t="str">
            <v>PERFIL DOBLADO CANAL</v>
          </cell>
          <cell r="C470" t="str">
            <v>Canales U 250x 100x 10</v>
          </cell>
          <cell r="D470">
            <v>33.36</v>
          </cell>
          <cell r="E470">
            <v>33.36</v>
          </cell>
          <cell r="F470">
            <v>152.39999999999998</v>
          </cell>
          <cell r="G470">
            <v>0</v>
          </cell>
        </row>
        <row r="471">
          <cell r="A471">
            <v>468</v>
          </cell>
          <cell r="B471" t="str">
            <v>PERFIL DOBLADO CANAL</v>
          </cell>
          <cell r="C471" t="str">
            <v>Canales U 300x 80x 6</v>
          </cell>
          <cell r="D471">
            <v>21.14</v>
          </cell>
          <cell r="E471">
            <v>21.14</v>
          </cell>
          <cell r="F471">
            <v>152.39999999999998</v>
          </cell>
          <cell r="G471">
            <v>0</v>
          </cell>
        </row>
        <row r="472">
          <cell r="A472">
            <v>469</v>
          </cell>
          <cell r="B472" t="str">
            <v>PERFIL DOBLADO CANAL</v>
          </cell>
          <cell r="C472" t="str">
            <v>Canales U 300x 80x 8</v>
          </cell>
          <cell r="D472">
            <v>27.75</v>
          </cell>
          <cell r="E472">
            <v>27.75</v>
          </cell>
          <cell r="F472">
            <v>152.39999999999998</v>
          </cell>
          <cell r="G472">
            <v>0</v>
          </cell>
        </row>
        <row r="473">
          <cell r="A473">
            <v>470</v>
          </cell>
          <cell r="B473" t="str">
            <v>PERFIL DOBLADO CANAL</v>
          </cell>
          <cell r="C473" t="str">
            <v>Canales U 300x 80x 10</v>
          </cell>
          <cell r="D473">
            <v>34.17</v>
          </cell>
          <cell r="E473">
            <v>34.17</v>
          </cell>
          <cell r="F473">
            <v>152.39999999999998</v>
          </cell>
          <cell r="G473">
            <v>0</v>
          </cell>
        </row>
        <row r="474">
          <cell r="A474">
            <v>471</v>
          </cell>
          <cell r="B474" t="str">
            <v>PERFIL DOBLADO CANAL</v>
          </cell>
          <cell r="C474" t="str">
            <v>Canales U 300x 100x 6</v>
          </cell>
          <cell r="D474">
            <v>23.06</v>
          </cell>
          <cell r="E474">
            <v>23.06</v>
          </cell>
          <cell r="F474">
            <v>152.39999999999998</v>
          </cell>
          <cell r="G474">
            <v>0</v>
          </cell>
        </row>
        <row r="475">
          <cell r="A475">
            <v>472</v>
          </cell>
          <cell r="B475" t="str">
            <v>PERFIL DOBLADO CANAL</v>
          </cell>
          <cell r="C475" t="str">
            <v>Canales U 300x 100x 8</v>
          </cell>
          <cell r="D475">
            <v>30.31</v>
          </cell>
          <cell r="E475">
            <v>30.31</v>
          </cell>
          <cell r="F475">
            <v>152.39999999999998</v>
          </cell>
          <cell r="G475">
            <v>0</v>
          </cell>
        </row>
        <row r="476">
          <cell r="A476">
            <v>473</v>
          </cell>
          <cell r="B476" t="str">
            <v>PERFIL DOBLADO CANAL</v>
          </cell>
          <cell r="C476" t="str">
            <v>Canales U 300x 100x 10</v>
          </cell>
          <cell r="D476">
            <v>37.36</v>
          </cell>
          <cell r="E476">
            <v>37.36</v>
          </cell>
          <cell r="F476">
            <v>203</v>
          </cell>
          <cell r="G476">
            <v>0</v>
          </cell>
        </row>
        <row r="477">
          <cell r="A477">
            <v>474</v>
          </cell>
          <cell r="B477" t="str">
            <v>PERFIL DOBLADO CORREA G</v>
          </cell>
          <cell r="C477" t="str">
            <v>Correas G 80x 40x 15x 2</v>
          </cell>
          <cell r="D477">
            <v>2.78</v>
          </cell>
          <cell r="E477">
            <v>2.78</v>
          </cell>
          <cell r="F477" t="str">
            <v>20</v>
          </cell>
          <cell r="G477">
            <v>0</v>
          </cell>
        </row>
        <row r="478">
          <cell r="A478">
            <v>475</v>
          </cell>
          <cell r="B478" t="str">
            <v>PERFIL DOBLADO CORREA G</v>
          </cell>
          <cell r="C478" t="str">
            <v>Correas G 80x 40x 15x 3</v>
          </cell>
          <cell r="D478">
            <v>4.01</v>
          </cell>
          <cell r="E478">
            <v>4.01</v>
          </cell>
          <cell r="F478" t="str">
            <v>20</v>
          </cell>
          <cell r="G478">
            <v>0</v>
          </cell>
        </row>
        <row r="479">
          <cell r="A479">
            <v>476</v>
          </cell>
          <cell r="B479" t="str">
            <v>PERFIL DOBLADO CORREA G</v>
          </cell>
          <cell r="C479" t="str">
            <v>Correas G 100x 50x 15x 2</v>
          </cell>
          <cell r="D479">
            <v>3.4</v>
          </cell>
          <cell r="E479">
            <v>3.4</v>
          </cell>
          <cell r="F479" t="str">
            <v>25</v>
          </cell>
          <cell r="G479">
            <v>0</v>
          </cell>
        </row>
        <row r="480">
          <cell r="A480">
            <v>477</v>
          </cell>
          <cell r="B480" t="str">
            <v>PERFIL DOBLADO CORREA G</v>
          </cell>
          <cell r="C480" t="str">
            <v>Correas G 100x 50x 15x 3</v>
          </cell>
          <cell r="D480">
            <v>4.95</v>
          </cell>
          <cell r="E480">
            <v>4.95</v>
          </cell>
          <cell r="F480" t="str">
            <v>25</v>
          </cell>
          <cell r="G480">
            <v>0</v>
          </cell>
        </row>
        <row r="481">
          <cell r="A481">
            <v>478</v>
          </cell>
          <cell r="B481" t="str">
            <v>PERFIL DOBLADO CORREA G</v>
          </cell>
          <cell r="C481" t="str">
            <v>Correas G 100x 50x 30x 4</v>
          </cell>
          <cell r="D481">
            <v>7.47</v>
          </cell>
          <cell r="E481">
            <v>7.47</v>
          </cell>
          <cell r="F481" t="str">
            <v>25</v>
          </cell>
          <cell r="G481">
            <v>0</v>
          </cell>
        </row>
        <row r="482">
          <cell r="A482">
            <v>479</v>
          </cell>
          <cell r="B482" t="str">
            <v>PERFIL DOBLADO CORREA G</v>
          </cell>
          <cell r="C482" t="str">
            <v>Correas G 100x 50x 30x 5</v>
          </cell>
          <cell r="D482">
            <v>9.08</v>
          </cell>
          <cell r="E482">
            <v>9.08</v>
          </cell>
          <cell r="F482" t="str">
            <v>25</v>
          </cell>
          <cell r="G482">
            <v>0</v>
          </cell>
        </row>
        <row r="483">
          <cell r="A483">
            <v>480</v>
          </cell>
          <cell r="B483" t="str">
            <v>PERFIL DOBLADO CORREA G</v>
          </cell>
          <cell r="C483" t="str">
            <v>Correas G 100x 50x 30x 6</v>
          </cell>
          <cell r="D483">
            <v>10.58</v>
          </cell>
          <cell r="E483">
            <v>10.58</v>
          </cell>
          <cell r="F483" t="str">
            <v>30</v>
          </cell>
          <cell r="G483">
            <v>0</v>
          </cell>
        </row>
        <row r="484">
          <cell r="A484">
            <v>481</v>
          </cell>
          <cell r="B484" t="str">
            <v>PERFIL DOBLADO CORREA G</v>
          </cell>
          <cell r="C484" t="str">
            <v>Correas G 125x 50x 15x 2</v>
          </cell>
          <cell r="D484">
            <v>3.8</v>
          </cell>
          <cell r="E484">
            <v>3.8</v>
          </cell>
          <cell r="F484" t="str">
            <v>30</v>
          </cell>
          <cell r="G484">
            <v>0</v>
          </cell>
        </row>
        <row r="485">
          <cell r="A485">
            <v>482</v>
          </cell>
          <cell r="B485" t="str">
            <v>PERFIL DOBLADO CORREA G</v>
          </cell>
          <cell r="C485" t="str">
            <v>Correas G 125x 50x 15x 3</v>
          </cell>
          <cell r="D485">
            <v>5.54</v>
          </cell>
          <cell r="E485">
            <v>5.54</v>
          </cell>
          <cell r="F485" t="str">
            <v>30</v>
          </cell>
          <cell r="G485">
            <v>0</v>
          </cell>
        </row>
        <row r="486">
          <cell r="A486">
            <v>483</v>
          </cell>
          <cell r="B486" t="str">
            <v>PERFIL DOBLADO CORREA G</v>
          </cell>
          <cell r="C486" t="str">
            <v>Correas G 125x 50x 30x 4</v>
          </cell>
          <cell r="D486">
            <v>8.27</v>
          </cell>
          <cell r="E486">
            <v>8.27</v>
          </cell>
          <cell r="F486" t="str">
            <v>30</v>
          </cell>
          <cell r="G486">
            <v>0</v>
          </cell>
        </row>
        <row r="487">
          <cell r="A487">
            <v>484</v>
          </cell>
          <cell r="B487" t="str">
            <v>PERFIL DOBLADO CORREA G</v>
          </cell>
          <cell r="C487" t="str">
            <v>Correas G 125x 50x 30x 5</v>
          </cell>
          <cell r="D487">
            <v>10.08</v>
          </cell>
          <cell r="E487">
            <v>10.08</v>
          </cell>
          <cell r="F487" t="str">
            <v>38</v>
          </cell>
          <cell r="G487">
            <v>0</v>
          </cell>
        </row>
        <row r="488">
          <cell r="A488">
            <v>485</v>
          </cell>
          <cell r="B488" t="str">
            <v>PERFIL DOBLADO CORREA G</v>
          </cell>
          <cell r="C488" t="str">
            <v>Correas G 125x 50x 30x 6</v>
          </cell>
          <cell r="D488">
            <v>11.78</v>
          </cell>
          <cell r="E488">
            <v>11.78</v>
          </cell>
          <cell r="F488" t="str">
            <v>40</v>
          </cell>
          <cell r="G488">
            <v>0</v>
          </cell>
        </row>
        <row r="489">
          <cell r="A489">
            <v>486</v>
          </cell>
          <cell r="B489" t="str">
            <v>PERFIL DOBLADO CORREA G</v>
          </cell>
          <cell r="C489" t="str">
            <v>Correas G 150x 50x 15x 2</v>
          </cell>
          <cell r="D489">
            <v>4.1900000000000004</v>
          </cell>
          <cell r="E489">
            <v>4.1900000000000004</v>
          </cell>
          <cell r="F489" t="str">
            <v>40</v>
          </cell>
          <cell r="G489">
            <v>0</v>
          </cell>
        </row>
        <row r="490">
          <cell r="A490">
            <v>487</v>
          </cell>
          <cell r="B490" t="str">
            <v>PERFIL DOBLADO CORREA G</v>
          </cell>
          <cell r="C490" t="str">
            <v>Correas G 150x 50x 15x 3</v>
          </cell>
          <cell r="D490">
            <v>6.18</v>
          </cell>
          <cell r="E490">
            <v>6.18</v>
          </cell>
          <cell r="F490" t="str">
            <v>40</v>
          </cell>
          <cell r="G490">
            <v>0</v>
          </cell>
        </row>
        <row r="491">
          <cell r="A491">
            <v>488</v>
          </cell>
          <cell r="B491" t="str">
            <v>PERFIL DOBLADO CORREA G</v>
          </cell>
          <cell r="C491" t="str">
            <v>Correas G 150x 60x 30x 4</v>
          </cell>
          <cell r="D491">
            <v>9.7200000000000006</v>
          </cell>
          <cell r="E491">
            <v>9.7200000000000006</v>
          </cell>
          <cell r="F491" t="str">
            <v>40</v>
          </cell>
          <cell r="G491">
            <v>0</v>
          </cell>
        </row>
        <row r="492">
          <cell r="A492">
            <v>489</v>
          </cell>
          <cell r="B492" t="str">
            <v>PERFIL DOBLADO CORREA G</v>
          </cell>
          <cell r="C492" t="str">
            <v>Correas G 150x 60x 30x 5</v>
          </cell>
          <cell r="D492">
            <v>11.88</v>
          </cell>
          <cell r="E492">
            <v>11.88</v>
          </cell>
          <cell r="F492" t="str">
            <v>40</v>
          </cell>
          <cell r="G492">
            <v>0</v>
          </cell>
        </row>
        <row r="493">
          <cell r="A493">
            <v>490</v>
          </cell>
          <cell r="B493" t="str">
            <v>PERFIL DOBLADO CORREA G</v>
          </cell>
          <cell r="C493" t="str">
            <v>Correas G 150x 60x 30x 6</v>
          </cell>
          <cell r="D493">
            <v>13.94</v>
          </cell>
          <cell r="E493">
            <v>13.94</v>
          </cell>
          <cell r="F493" t="str">
            <v>50</v>
          </cell>
          <cell r="G493">
            <v>0</v>
          </cell>
        </row>
        <row r="494">
          <cell r="A494">
            <v>491</v>
          </cell>
          <cell r="B494" t="str">
            <v>PERFIL DOBLADO CORREA G</v>
          </cell>
          <cell r="C494" t="str">
            <v>Correas G 200x 50x 15x 2</v>
          </cell>
          <cell r="D494">
            <v>4.99</v>
          </cell>
          <cell r="E494">
            <v>4.99</v>
          </cell>
          <cell r="F494" t="str">
            <v>50</v>
          </cell>
          <cell r="G494">
            <v>0</v>
          </cell>
        </row>
        <row r="495">
          <cell r="A495">
            <v>492</v>
          </cell>
          <cell r="B495" t="str">
            <v>PERFIL DOBLADO CORREA G</v>
          </cell>
          <cell r="C495" t="str">
            <v>Correas G 200x 50x 15x 3</v>
          </cell>
          <cell r="D495">
            <v>7.31</v>
          </cell>
          <cell r="E495">
            <v>7.31</v>
          </cell>
          <cell r="F495" t="str">
            <v>50</v>
          </cell>
          <cell r="G495">
            <v>0</v>
          </cell>
        </row>
        <row r="496">
          <cell r="A496">
            <v>493</v>
          </cell>
          <cell r="B496" t="str">
            <v>PERFIL DOBLADO CORREA G</v>
          </cell>
          <cell r="C496" t="str">
            <v>Correas G 200x 80x 30x 4</v>
          </cell>
          <cell r="D496">
            <v>12.6</v>
          </cell>
          <cell r="E496">
            <v>12.6</v>
          </cell>
          <cell r="F496" t="str">
            <v>50</v>
          </cell>
          <cell r="G496">
            <v>0</v>
          </cell>
        </row>
        <row r="497">
          <cell r="A497">
            <v>494</v>
          </cell>
          <cell r="B497" t="str">
            <v>PERFIL DOBLADO CORREA G</v>
          </cell>
          <cell r="C497" t="str">
            <v>Correas G 200x 80x 30x 5</v>
          </cell>
          <cell r="D497">
            <v>15.48</v>
          </cell>
          <cell r="E497">
            <v>15.48</v>
          </cell>
          <cell r="F497" t="str">
            <v>50</v>
          </cell>
          <cell r="G497">
            <v>0</v>
          </cell>
        </row>
        <row r="498">
          <cell r="A498">
            <v>495</v>
          </cell>
          <cell r="B498" t="str">
            <v>PERFIL DOBLADO CORREA G</v>
          </cell>
          <cell r="C498" t="str">
            <v>Correas G 200x 80x 30x 6</v>
          </cell>
          <cell r="D498">
            <v>18.260000000000002</v>
          </cell>
          <cell r="E498">
            <v>18.260000000000002</v>
          </cell>
          <cell r="F498" t="str">
            <v xml:space="preserve"> 51</v>
          </cell>
          <cell r="G498">
            <v>0</v>
          </cell>
        </row>
        <row r="499">
          <cell r="A499">
            <v>496</v>
          </cell>
          <cell r="B499" t="str">
            <v>PERFIL DOBLADO CORREA G</v>
          </cell>
          <cell r="C499" t="str">
            <v>Correas G 250x 100x 30x 4</v>
          </cell>
          <cell r="D499">
            <v>15.48</v>
          </cell>
          <cell r="E499">
            <v>15.48</v>
          </cell>
          <cell r="F499" t="str">
            <v xml:space="preserve"> 51</v>
          </cell>
          <cell r="G499">
            <v>0</v>
          </cell>
        </row>
        <row r="500">
          <cell r="A500">
            <v>497</v>
          </cell>
          <cell r="B500" t="str">
            <v>PERFIL DOBLADO CORREA G</v>
          </cell>
          <cell r="C500" t="str">
            <v>Correas G 250x 100x 30x 5</v>
          </cell>
          <cell r="D500">
            <v>19.079999999999998</v>
          </cell>
          <cell r="E500">
            <v>19.079999999999998</v>
          </cell>
          <cell r="F500" t="str">
            <v xml:space="preserve"> 55</v>
          </cell>
          <cell r="G500">
            <v>0</v>
          </cell>
        </row>
        <row r="501">
          <cell r="A501">
            <v>498</v>
          </cell>
          <cell r="B501" t="str">
            <v>PERFIL DOBLADO CORREA G</v>
          </cell>
          <cell r="C501" t="str">
            <v>Correas G 250x 100x 30x 6</v>
          </cell>
          <cell r="D501">
            <v>22.58</v>
          </cell>
          <cell r="E501">
            <v>22.58</v>
          </cell>
          <cell r="F501" t="str">
            <v>60</v>
          </cell>
          <cell r="G501">
            <v>0</v>
          </cell>
        </row>
        <row r="502">
          <cell r="A502">
            <v>499</v>
          </cell>
          <cell r="B502" t="str">
            <v>PERFIL DOBLADO CORREA Z</v>
          </cell>
          <cell r="C502" t="str">
            <v>Correas Z 80x 40x 15x 2</v>
          </cell>
          <cell r="D502">
            <v>2.78</v>
          </cell>
          <cell r="E502">
            <v>2.78</v>
          </cell>
          <cell r="F502" t="str">
            <v>60</v>
          </cell>
          <cell r="G502">
            <v>0</v>
          </cell>
        </row>
        <row r="503">
          <cell r="A503">
            <v>500</v>
          </cell>
          <cell r="B503" t="str">
            <v>PERFIL DOBLADO CORREA Z</v>
          </cell>
          <cell r="C503" t="str">
            <v>Correas Z 80x 40x 15x 3</v>
          </cell>
          <cell r="D503">
            <v>4.01</v>
          </cell>
          <cell r="E503">
            <v>4.01</v>
          </cell>
          <cell r="F503" t="str">
            <v>60</v>
          </cell>
          <cell r="G503">
            <v>0</v>
          </cell>
        </row>
        <row r="504">
          <cell r="A504">
            <v>501</v>
          </cell>
          <cell r="B504" t="str">
            <v>PERFIL DOBLADO CORREA Z</v>
          </cell>
          <cell r="C504" t="str">
            <v>Correas Z 100x 15x 2</v>
          </cell>
          <cell r="D504">
            <v>3.4</v>
          </cell>
          <cell r="E504">
            <v>3.4</v>
          </cell>
          <cell r="F504" t="str">
            <v>60</v>
          </cell>
          <cell r="G504">
            <v>0</v>
          </cell>
        </row>
        <row r="505">
          <cell r="A505">
            <v>502</v>
          </cell>
          <cell r="B505" t="str">
            <v>PERFIL DOBLADO CORREA Z</v>
          </cell>
          <cell r="C505" t="str">
            <v>Correas Z 100x 15x 3</v>
          </cell>
          <cell r="D505">
            <v>4.95</v>
          </cell>
          <cell r="E505">
            <v>4.95</v>
          </cell>
          <cell r="F505" t="str">
            <v>60</v>
          </cell>
          <cell r="G505">
            <v>0</v>
          </cell>
        </row>
        <row r="506">
          <cell r="A506">
            <v>503</v>
          </cell>
          <cell r="B506" t="str">
            <v>PERFIL DOBLADO CORREA Z</v>
          </cell>
          <cell r="C506" t="str">
            <v>Correas Z 100x 30x 4</v>
          </cell>
          <cell r="D506">
            <v>7.47</v>
          </cell>
          <cell r="E506">
            <v>7.47</v>
          </cell>
          <cell r="F506" t="str">
            <v>65</v>
          </cell>
          <cell r="G506">
            <v>0</v>
          </cell>
        </row>
        <row r="507">
          <cell r="A507">
            <v>504</v>
          </cell>
          <cell r="B507" t="str">
            <v>PERFIL DOBLADO CORREA Z</v>
          </cell>
          <cell r="C507" t="str">
            <v>Correas Z 100x 30x 5</v>
          </cell>
          <cell r="D507">
            <v>9.08</v>
          </cell>
          <cell r="E507">
            <v>9.08</v>
          </cell>
          <cell r="F507" t="str">
            <v>65</v>
          </cell>
          <cell r="G507">
            <v>0</v>
          </cell>
        </row>
        <row r="508">
          <cell r="A508">
            <v>505</v>
          </cell>
          <cell r="B508" t="str">
            <v>PERFIL DOBLADO CORREA Z</v>
          </cell>
          <cell r="C508" t="str">
            <v>Correas Z 100x 30x 6</v>
          </cell>
          <cell r="D508">
            <v>10.58</v>
          </cell>
          <cell r="E508">
            <v>10.58</v>
          </cell>
          <cell r="F508" t="str">
            <v>70</v>
          </cell>
          <cell r="G508">
            <v>0</v>
          </cell>
        </row>
        <row r="509">
          <cell r="A509">
            <v>506</v>
          </cell>
          <cell r="B509" t="str">
            <v>PERFIL DOBLADO CORREA Z</v>
          </cell>
          <cell r="C509" t="str">
            <v>Correas Z 125x 50x 15x 2</v>
          </cell>
          <cell r="D509">
            <v>3.8</v>
          </cell>
          <cell r="E509">
            <v>3.8</v>
          </cell>
          <cell r="F509" t="str">
            <v>75</v>
          </cell>
          <cell r="G509">
            <v>0</v>
          </cell>
        </row>
        <row r="510">
          <cell r="A510">
            <v>507</v>
          </cell>
          <cell r="B510" t="str">
            <v>PERFIL DOBLADO CORREA Z</v>
          </cell>
          <cell r="C510" t="str">
            <v xml:space="preserve">Correas Z 125x 50x 15x 3 </v>
          </cell>
          <cell r="D510">
            <v>5.54</v>
          </cell>
          <cell r="E510">
            <v>5.54</v>
          </cell>
          <cell r="F510" t="str">
            <v>75</v>
          </cell>
          <cell r="G510">
            <v>0</v>
          </cell>
        </row>
        <row r="511">
          <cell r="A511">
            <v>508</v>
          </cell>
          <cell r="B511" t="str">
            <v>PERFIL DOBLADO CORREA Z</v>
          </cell>
          <cell r="C511" t="str">
            <v>Correas Z 125x 50x 15x 4</v>
          </cell>
          <cell r="D511">
            <v>8.27</v>
          </cell>
          <cell r="E511">
            <v>8.27</v>
          </cell>
          <cell r="F511" t="str">
            <v>80</v>
          </cell>
          <cell r="G511">
            <v>0</v>
          </cell>
        </row>
        <row r="512">
          <cell r="A512">
            <v>509</v>
          </cell>
          <cell r="B512" t="str">
            <v>PERFIL DOBLADO CORREA Z</v>
          </cell>
          <cell r="C512" t="str">
            <v>Correas Z 125x 50x 15x 5</v>
          </cell>
          <cell r="D512">
            <v>10.08</v>
          </cell>
          <cell r="E512">
            <v>10.08</v>
          </cell>
          <cell r="F512" t="str">
            <v xml:space="preserve"> 90</v>
          </cell>
          <cell r="G512">
            <v>0</v>
          </cell>
        </row>
        <row r="513">
          <cell r="A513">
            <v>510</v>
          </cell>
          <cell r="B513" t="str">
            <v>PERFIL DOBLADO CORREA Z</v>
          </cell>
          <cell r="C513" t="str">
            <v>Correas Z 125x 50x 15x 6</v>
          </cell>
          <cell r="D513">
            <v>11.78</v>
          </cell>
          <cell r="E513">
            <v>11.78</v>
          </cell>
          <cell r="F513" t="str">
            <v xml:space="preserve"> 90</v>
          </cell>
          <cell r="G513">
            <v>0</v>
          </cell>
        </row>
        <row r="514">
          <cell r="A514">
            <v>511</v>
          </cell>
          <cell r="B514" t="str">
            <v>PERFIL DOBLADO CORREA Z</v>
          </cell>
          <cell r="C514" t="str">
            <v>Correas Z 150x 50x 15x 2</v>
          </cell>
          <cell r="D514">
            <v>4.1900000000000004</v>
          </cell>
          <cell r="E514">
            <v>4.1900000000000004</v>
          </cell>
          <cell r="F514" t="str">
            <v>100</v>
          </cell>
          <cell r="G514">
            <v>0</v>
          </cell>
        </row>
        <row r="515">
          <cell r="A515">
            <v>512</v>
          </cell>
          <cell r="B515" t="str">
            <v>PERFIL DOBLADO CORREA Z</v>
          </cell>
          <cell r="C515" t="str">
            <v>Correas Z 150x 50x 15x 3</v>
          </cell>
          <cell r="D515">
            <v>6.13</v>
          </cell>
          <cell r="E515">
            <v>6.13</v>
          </cell>
          <cell r="F515" t="str">
            <v>100</v>
          </cell>
          <cell r="G515">
            <v>0</v>
          </cell>
        </row>
        <row r="516">
          <cell r="A516">
            <v>513</v>
          </cell>
          <cell r="B516" t="str">
            <v>PERFIL DOBLADO CORREA Z</v>
          </cell>
          <cell r="C516" t="str">
            <v>Correas Z 150x 60x 30x 4</v>
          </cell>
          <cell r="D516">
            <v>9.7200000000000006</v>
          </cell>
          <cell r="E516">
            <v>9.7200000000000006</v>
          </cell>
          <cell r="F516" t="str">
            <v>100</v>
          </cell>
          <cell r="G516">
            <v>0</v>
          </cell>
        </row>
        <row r="517">
          <cell r="A517">
            <v>514</v>
          </cell>
          <cell r="B517" t="str">
            <v>PERFIL DOBLADO CORREA Z</v>
          </cell>
          <cell r="C517" t="str">
            <v>Correas Z 150x 60x 30x 5</v>
          </cell>
          <cell r="D517">
            <v>11.88</v>
          </cell>
          <cell r="E517">
            <v>11.88</v>
          </cell>
          <cell r="F517" t="str">
            <v>100</v>
          </cell>
          <cell r="G517">
            <v>0</v>
          </cell>
        </row>
        <row r="518">
          <cell r="A518">
            <v>515</v>
          </cell>
          <cell r="B518" t="str">
            <v>PERFIL DOBLADO CORREA Z</v>
          </cell>
          <cell r="C518" t="str">
            <v>Correas Z 150x 60x 30x 6</v>
          </cell>
          <cell r="D518">
            <v>13.94</v>
          </cell>
          <cell r="E518">
            <v>13.94</v>
          </cell>
          <cell r="F518" t="str">
            <v>100</v>
          </cell>
          <cell r="G518">
            <v>0</v>
          </cell>
        </row>
        <row r="519">
          <cell r="A519">
            <v>516</v>
          </cell>
          <cell r="B519" t="str">
            <v>PERFIL DOBLADO CORREA Z</v>
          </cell>
          <cell r="C519" t="str">
            <v>Correas Z 200x 50x 15x 2</v>
          </cell>
          <cell r="D519">
            <v>4.99</v>
          </cell>
          <cell r="E519">
            <v>4.99</v>
          </cell>
          <cell r="F519" t="str">
            <v xml:space="preserve"> 102</v>
          </cell>
          <cell r="G519">
            <v>0</v>
          </cell>
        </row>
        <row r="520">
          <cell r="A520">
            <v>517</v>
          </cell>
          <cell r="B520" t="str">
            <v>PERFIL DOBLADO CORREA Z</v>
          </cell>
          <cell r="C520" t="str">
            <v>Correas Z 200x 50x 15x 3</v>
          </cell>
          <cell r="D520">
            <v>7.31</v>
          </cell>
          <cell r="E520">
            <v>7.31</v>
          </cell>
          <cell r="F520" t="str">
            <v>120</v>
          </cell>
          <cell r="G520">
            <v>0</v>
          </cell>
        </row>
        <row r="521">
          <cell r="A521">
            <v>518</v>
          </cell>
          <cell r="B521" t="str">
            <v>PERFIL DOBLADO CORREA Z</v>
          </cell>
          <cell r="C521" t="str">
            <v>Correas Z 200x 80x 4</v>
          </cell>
          <cell r="D521">
            <v>12.6</v>
          </cell>
          <cell r="E521">
            <v>12.6</v>
          </cell>
          <cell r="F521" t="str">
            <v>120</v>
          </cell>
          <cell r="G521">
            <v>0</v>
          </cell>
        </row>
        <row r="522">
          <cell r="A522">
            <v>519</v>
          </cell>
          <cell r="B522" t="str">
            <v>PERFIL DOBLADO CORREA Z</v>
          </cell>
          <cell r="C522" t="str">
            <v>Correas Z 200x 80x 5</v>
          </cell>
          <cell r="D522">
            <v>15.48</v>
          </cell>
          <cell r="E522">
            <v>15.48</v>
          </cell>
          <cell r="F522" t="str">
            <v xml:space="preserve"> 125</v>
          </cell>
          <cell r="G522">
            <v>0</v>
          </cell>
        </row>
        <row r="523">
          <cell r="A523">
            <v>520</v>
          </cell>
          <cell r="B523" t="str">
            <v>PERFIL DOBLADO CORREA Z</v>
          </cell>
          <cell r="C523" t="str">
            <v>Correas Z 200x 80x 6</v>
          </cell>
          <cell r="D523">
            <v>18.260000000000002</v>
          </cell>
          <cell r="E523">
            <v>18.260000000000002</v>
          </cell>
          <cell r="F523" t="str">
            <v xml:space="preserve"> 125</v>
          </cell>
          <cell r="G523">
            <v>0</v>
          </cell>
        </row>
        <row r="524">
          <cell r="A524">
            <v>521</v>
          </cell>
          <cell r="B524" t="str">
            <v>PERFIL DOBLADO CORREA Z</v>
          </cell>
          <cell r="C524" t="str">
            <v>Correas Z 250x 100x 30x 4</v>
          </cell>
          <cell r="D524">
            <v>15.48</v>
          </cell>
          <cell r="E524">
            <v>15.48</v>
          </cell>
          <cell r="F524" t="str">
            <v xml:space="preserve"> 127</v>
          </cell>
          <cell r="G524">
            <v>0</v>
          </cell>
        </row>
        <row r="525">
          <cell r="A525">
            <v>522</v>
          </cell>
          <cell r="B525" t="str">
            <v>PERFIL DOBLADO CORREA Z</v>
          </cell>
          <cell r="C525" t="str">
            <v>Correas Z 250x 100x 30x 5</v>
          </cell>
          <cell r="D525">
            <v>19.079999999999998</v>
          </cell>
          <cell r="E525">
            <v>19.079999999999998</v>
          </cell>
          <cell r="F525" t="str">
            <v xml:space="preserve"> 127</v>
          </cell>
          <cell r="G525">
            <v>0</v>
          </cell>
        </row>
        <row r="526">
          <cell r="A526">
            <v>523</v>
          </cell>
          <cell r="B526" t="str">
            <v>PERFIL DOBLADO CORREA Z</v>
          </cell>
          <cell r="C526" t="str">
            <v>Correas Z 250x 100x 30x 6</v>
          </cell>
          <cell r="D526">
            <v>22.58</v>
          </cell>
          <cell r="E526">
            <v>22.58</v>
          </cell>
          <cell r="F526" t="str">
            <v xml:space="preserve"> 150</v>
          </cell>
          <cell r="G526">
            <v>0</v>
          </cell>
        </row>
        <row r="527">
          <cell r="A527">
            <v>524</v>
          </cell>
          <cell r="B527" t="str">
            <v>ROFFTEC CORREA Z</v>
          </cell>
          <cell r="C527" t="str">
            <v>Correa Z 64x 32x 10x 1,00</v>
          </cell>
          <cell r="D527">
            <v>1.1100000000000001</v>
          </cell>
          <cell r="E527">
            <v>1.1100000000000001</v>
          </cell>
          <cell r="F527" t="str">
            <v>150</v>
          </cell>
          <cell r="G527">
            <v>0</v>
          </cell>
        </row>
        <row r="528">
          <cell r="A528">
            <v>525</v>
          </cell>
          <cell r="B528" t="str">
            <v>ROFFTEC CORREA Z</v>
          </cell>
          <cell r="C528" t="str">
            <v>Correa Z 64x 32x 10x 1,20</v>
          </cell>
          <cell r="D528">
            <v>1.32</v>
          </cell>
          <cell r="E528">
            <v>1.32</v>
          </cell>
          <cell r="F528" t="str">
            <v xml:space="preserve"> 150</v>
          </cell>
          <cell r="G528">
            <v>0</v>
          </cell>
        </row>
        <row r="529">
          <cell r="A529">
            <v>526</v>
          </cell>
          <cell r="B529" t="str">
            <v>ROFFTEC CORREA Z</v>
          </cell>
          <cell r="C529" t="str">
            <v>Correa Z 75x 38x 10x 1,00</v>
          </cell>
          <cell r="D529">
            <v>1.29</v>
          </cell>
          <cell r="E529">
            <v>1.29</v>
          </cell>
          <cell r="F529" t="str">
            <v>150</v>
          </cell>
          <cell r="G529">
            <v>0</v>
          </cell>
        </row>
        <row r="530">
          <cell r="A530">
            <v>527</v>
          </cell>
          <cell r="B530" t="str">
            <v>ROFFTEC CORREA Z</v>
          </cell>
          <cell r="C530" t="str">
            <v>Correa Z 75x 38x 10x 1,20</v>
          </cell>
          <cell r="D530">
            <v>1.54</v>
          </cell>
          <cell r="E530">
            <v>1.54</v>
          </cell>
          <cell r="F530" t="str">
            <v xml:space="preserve"> 150</v>
          </cell>
          <cell r="G530">
            <v>0</v>
          </cell>
        </row>
        <row r="531">
          <cell r="A531">
            <v>528</v>
          </cell>
          <cell r="B531" t="str">
            <v>ROFFTEC CORREA Z</v>
          </cell>
          <cell r="C531" t="str">
            <v>Correa Z 100x 38x 10x 1,00</v>
          </cell>
          <cell r="D531">
            <v>1.47</v>
          </cell>
          <cell r="E531">
            <v>1.47</v>
          </cell>
          <cell r="F531" t="str">
            <v>150</v>
          </cell>
          <cell r="G531">
            <v>0</v>
          </cell>
        </row>
        <row r="532">
          <cell r="A532">
            <v>529</v>
          </cell>
          <cell r="B532" t="str">
            <v>ROFFTEC CORREA Z</v>
          </cell>
          <cell r="C532" t="str">
            <v>Correa Z 100x 38x 10x 1,20</v>
          </cell>
          <cell r="D532">
            <v>1.75</v>
          </cell>
          <cell r="E532">
            <v>1.75</v>
          </cell>
          <cell r="F532" t="str">
            <v xml:space="preserve"> 152</v>
          </cell>
          <cell r="G532">
            <v>0</v>
          </cell>
        </row>
        <row r="533">
          <cell r="A533">
            <v>530</v>
          </cell>
          <cell r="B533" t="str">
            <v>ROFFTEC CORREA Z</v>
          </cell>
          <cell r="C533" t="str">
            <v>Correa Z 125x 38x 10x 1,00</v>
          </cell>
          <cell r="D533">
            <v>1.66</v>
          </cell>
          <cell r="E533">
            <v>1.66</v>
          </cell>
          <cell r="F533" t="str">
            <v>180</v>
          </cell>
          <cell r="G533">
            <v>0</v>
          </cell>
        </row>
        <row r="534">
          <cell r="A534">
            <v>531</v>
          </cell>
          <cell r="B534" t="str">
            <v>ROFFTEC CORREA Z</v>
          </cell>
          <cell r="C534" t="str">
            <v>Correa Z 125x 38x 11x 1,20</v>
          </cell>
          <cell r="D534">
            <v>1.99</v>
          </cell>
          <cell r="E534">
            <v>1.99</v>
          </cell>
          <cell r="F534" t="str">
            <v>180</v>
          </cell>
          <cell r="G534">
            <v>0</v>
          </cell>
        </row>
        <row r="535">
          <cell r="A535">
            <v>532</v>
          </cell>
          <cell r="B535" t="str">
            <v>ROFFTEC CORREA Z</v>
          </cell>
          <cell r="C535" t="str">
            <v>Correa Z 125x 38x 12x 1,40</v>
          </cell>
          <cell r="D535">
            <v>2.31</v>
          </cell>
          <cell r="E535">
            <v>2.31</v>
          </cell>
          <cell r="F535" t="str">
            <v>180</v>
          </cell>
          <cell r="G535">
            <v>0</v>
          </cell>
        </row>
        <row r="536">
          <cell r="A536">
            <v>533</v>
          </cell>
          <cell r="B536" t="str">
            <v>ROFFTEC CORREA Z</v>
          </cell>
          <cell r="C536" t="str">
            <v>Correa Z 125x 38x 13x 1,60</v>
          </cell>
          <cell r="D536">
            <v>2.62</v>
          </cell>
          <cell r="E536">
            <v>2.62</v>
          </cell>
          <cell r="F536" t="str">
            <v xml:space="preserve"> 200</v>
          </cell>
          <cell r="G536">
            <v>0</v>
          </cell>
        </row>
        <row r="537">
          <cell r="A537">
            <v>534</v>
          </cell>
          <cell r="B537" t="str">
            <v>ROFFTEC CORREA Z</v>
          </cell>
          <cell r="C537" t="str">
            <v>Correa Z 125x 50x 10x 1,40</v>
          </cell>
          <cell r="D537">
            <v>2.57</v>
          </cell>
          <cell r="E537">
            <v>2.57</v>
          </cell>
          <cell r="F537" t="str">
            <v xml:space="preserve"> 200</v>
          </cell>
          <cell r="G537">
            <v>0</v>
          </cell>
        </row>
        <row r="538">
          <cell r="A538">
            <v>535</v>
          </cell>
          <cell r="B538" t="str">
            <v>ROFFTEC CORREA Z</v>
          </cell>
          <cell r="C538" t="str">
            <v>Correa Z 125x 50x 11x 1,60</v>
          </cell>
          <cell r="D538">
            <v>2.93</v>
          </cell>
          <cell r="E538">
            <v>2.93</v>
          </cell>
          <cell r="F538" t="str">
            <v>200</v>
          </cell>
          <cell r="G538">
            <v>0</v>
          </cell>
        </row>
        <row r="539">
          <cell r="A539">
            <v>536</v>
          </cell>
          <cell r="B539" t="str">
            <v>ROFFTEC CORREA Z</v>
          </cell>
          <cell r="C539" t="str">
            <v>Correa Z 150x 38x 10x 1,40</v>
          </cell>
          <cell r="D539">
            <v>2.58</v>
          </cell>
          <cell r="E539">
            <v>2.58</v>
          </cell>
          <cell r="F539" t="str">
            <v>200</v>
          </cell>
          <cell r="G539">
            <v>0</v>
          </cell>
        </row>
        <row r="540">
          <cell r="A540">
            <v>537</v>
          </cell>
          <cell r="B540" t="str">
            <v>ROFFTEC CORREA Z</v>
          </cell>
          <cell r="C540" t="str">
            <v>Correa Z 150x 38x 10x 1,60</v>
          </cell>
          <cell r="D540">
            <v>2.94</v>
          </cell>
          <cell r="E540">
            <v>2.94</v>
          </cell>
          <cell r="F540" t="str">
            <v>200</v>
          </cell>
          <cell r="G540">
            <v>0</v>
          </cell>
        </row>
        <row r="541">
          <cell r="A541">
            <v>538</v>
          </cell>
          <cell r="B541" t="str">
            <v>ROFFTEC CORREA Z</v>
          </cell>
          <cell r="C541" t="str">
            <v>Correa Z 150x 50x 10x 1,40</v>
          </cell>
          <cell r="D541">
            <v>2.85</v>
          </cell>
          <cell r="E541">
            <v>2.85</v>
          </cell>
          <cell r="F541" t="str">
            <v>200</v>
          </cell>
          <cell r="G541">
            <v>0</v>
          </cell>
        </row>
        <row r="542">
          <cell r="A542">
            <v>539</v>
          </cell>
          <cell r="B542" t="str">
            <v>ROFFTEC CORREA Z</v>
          </cell>
          <cell r="C542" t="str">
            <v>Correa Z 150x 50x 10x 1,60</v>
          </cell>
          <cell r="D542">
            <v>3.24</v>
          </cell>
          <cell r="E542">
            <v>3.24</v>
          </cell>
          <cell r="F542" t="str">
            <v xml:space="preserve"> 203</v>
          </cell>
          <cell r="G542">
            <v>0</v>
          </cell>
        </row>
        <row r="543">
          <cell r="A543">
            <v>540</v>
          </cell>
          <cell r="B543" t="str">
            <v>ROFFTEC CORREA Z</v>
          </cell>
          <cell r="C543" t="str">
            <v>Correa Z 175x 38x 10x 1,40</v>
          </cell>
          <cell r="D543">
            <v>2.86</v>
          </cell>
          <cell r="E543">
            <v>2.86</v>
          </cell>
          <cell r="F543" t="str">
            <v xml:space="preserve"> 203</v>
          </cell>
          <cell r="G543">
            <v>0</v>
          </cell>
        </row>
        <row r="544">
          <cell r="A544">
            <v>541</v>
          </cell>
          <cell r="B544" t="str">
            <v>ROFFTEC CORREA Z</v>
          </cell>
          <cell r="C544" t="str">
            <v>Correa Z 175x 38x 10x 1,60</v>
          </cell>
          <cell r="D544">
            <v>3.25</v>
          </cell>
          <cell r="E544">
            <v>3.25</v>
          </cell>
          <cell r="F544" t="str">
            <v xml:space="preserve"> 203</v>
          </cell>
          <cell r="G544">
            <v>0</v>
          </cell>
        </row>
        <row r="545">
          <cell r="A545">
            <v>542</v>
          </cell>
          <cell r="B545" t="str">
            <v>ROFFTEC CORREA Z</v>
          </cell>
          <cell r="C545" t="str">
            <v>Correa Z 175x 50x 10x 1,40</v>
          </cell>
          <cell r="D545">
            <v>3.13</v>
          </cell>
          <cell r="E545">
            <v>3.13</v>
          </cell>
          <cell r="F545">
            <v>44.45</v>
          </cell>
          <cell r="G545">
            <v>0</v>
          </cell>
        </row>
        <row r="546">
          <cell r="A546">
            <v>543</v>
          </cell>
          <cell r="B546" t="str">
            <v>ROFFTEC CORREA Z</v>
          </cell>
          <cell r="C546" t="str">
            <v>Correa Z 175x 50x 10x 1,60</v>
          </cell>
          <cell r="D546">
            <v>3.55</v>
          </cell>
          <cell r="E546">
            <v>3.55</v>
          </cell>
          <cell r="F546">
            <v>48.77</v>
          </cell>
          <cell r="G546">
            <v>0</v>
          </cell>
        </row>
        <row r="547">
          <cell r="A547">
            <v>544</v>
          </cell>
          <cell r="B547" t="str">
            <v>ROFFTEC CORREA Z</v>
          </cell>
          <cell r="C547" t="str">
            <v>Correa Z 200x 50x 10x 1,40</v>
          </cell>
          <cell r="D547">
            <v>3.39</v>
          </cell>
          <cell r="E547">
            <v>3.39</v>
          </cell>
          <cell r="F547">
            <v>53.09</v>
          </cell>
          <cell r="G547">
            <v>0</v>
          </cell>
        </row>
        <row r="548">
          <cell r="A548">
            <v>545</v>
          </cell>
          <cell r="B548" t="str">
            <v>ROFFTEC CORREA Z</v>
          </cell>
          <cell r="C548" t="str">
            <v>Correa Z 200x 50x 10x 1,60</v>
          </cell>
          <cell r="D548">
            <v>3.87</v>
          </cell>
          <cell r="E548">
            <v>3.87</v>
          </cell>
          <cell r="F548">
            <v>57.4</v>
          </cell>
          <cell r="G548">
            <v>0</v>
          </cell>
        </row>
        <row r="549">
          <cell r="A549">
            <v>546</v>
          </cell>
          <cell r="B549" t="str">
            <v>ZADELCA MALLA ELECTROSOLDADA 6 x 2.4 m</v>
          </cell>
          <cell r="C549" t="str">
            <v>Malla antisismica  8 x 15</v>
          </cell>
          <cell r="D549">
            <v>75.84</v>
          </cell>
          <cell r="E549">
            <v>75.84</v>
          </cell>
          <cell r="F549" t="str">
            <v xml:space="preserve"> 76.2</v>
          </cell>
          <cell r="G549">
            <v>0</v>
          </cell>
        </row>
        <row r="550">
          <cell r="A550">
            <v>547</v>
          </cell>
          <cell r="B550" t="str">
            <v>ZADELCA MALLA ELECTROSOLDADA 6 x 2.4 m</v>
          </cell>
          <cell r="C550" t="str">
            <v>Malla antisismica 8 x 20</v>
          </cell>
          <cell r="D550">
            <v>56.88</v>
          </cell>
          <cell r="E550">
            <v>56.88</v>
          </cell>
          <cell r="F550" t="str">
            <v xml:space="preserve"> 76.2</v>
          </cell>
          <cell r="G550">
            <v>0</v>
          </cell>
        </row>
        <row r="551">
          <cell r="A551">
            <v>548</v>
          </cell>
          <cell r="B551" t="str">
            <v>ZADELCA MALLA ELECTROSOLDADA 6 x 2.4 m</v>
          </cell>
          <cell r="C551" t="str">
            <v>Malla antisismica 8 x 50</v>
          </cell>
          <cell r="D551">
            <v>24.17</v>
          </cell>
          <cell r="E551">
            <v>24.17</v>
          </cell>
          <cell r="F551" t="str">
            <v xml:space="preserve"> 76</v>
          </cell>
          <cell r="G551">
            <v>0</v>
          </cell>
        </row>
        <row r="552">
          <cell r="A552">
            <v>549</v>
          </cell>
          <cell r="B552" t="str">
            <v>ZADELCA MALLA ELECTROSOLDADA 6 x 2.4 m</v>
          </cell>
          <cell r="C552" t="str">
            <v>Malla antisismica 10 x15</v>
          </cell>
          <cell r="D552">
            <v>118.46</v>
          </cell>
          <cell r="E552">
            <v>118.46</v>
          </cell>
          <cell r="F552" t="str">
            <v xml:space="preserve"> 76</v>
          </cell>
          <cell r="G552">
            <v>0</v>
          </cell>
        </row>
        <row r="553">
          <cell r="A553">
            <v>550</v>
          </cell>
          <cell r="B553" t="str">
            <v>ZADELCA MALLA ELECTROSOLDADA 6 x 2.4 m</v>
          </cell>
          <cell r="C553" t="str">
            <v>Malla antisismica 10 x20</v>
          </cell>
          <cell r="D553">
            <v>88.85</v>
          </cell>
          <cell r="E553">
            <v>88.85</v>
          </cell>
          <cell r="F553">
            <v>0</v>
          </cell>
          <cell r="G553">
            <v>0</v>
          </cell>
        </row>
        <row r="554">
          <cell r="A554">
            <v>551</v>
          </cell>
          <cell r="B554" t="str">
            <v>ZADELCA MALLA ELECTROSOLDADA 6 x 2.4 m</v>
          </cell>
          <cell r="C554" t="str">
            <v>Malla antisismica 10 x 50</v>
          </cell>
          <cell r="D554">
            <v>37.76</v>
          </cell>
          <cell r="E554">
            <v>37.76</v>
          </cell>
          <cell r="F554" t="str">
            <v xml:space="preserve"> 101.6</v>
          </cell>
          <cell r="G554">
            <v>0</v>
          </cell>
        </row>
        <row r="555">
          <cell r="A555">
            <v>552</v>
          </cell>
          <cell r="B555" t="str">
            <v>ZADELCA MALLA ELECTROSOLDADA 6 x 2.4 m</v>
          </cell>
          <cell r="C555" t="str">
            <v>Malla antisismica 12 x 20</v>
          </cell>
          <cell r="D555">
            <v>127.87</v>
          </cell>
          <cell r="E555">
            <v>127.87</v>
          </cell>
          <cell r="F555" t="str">
            <v xml:space="preserve"> 102</v>
          </cell>
          <cell r="G555">
            <v>0</v>
          </cell>
        </row>
        <row r="556">
          <cell r="A556">
            <v>553</v>
          </cell>
          <cell r="B556" t="str">
            <v>ZADELCA MALLA ELECTROSOLDADA 6 x 2.4 m</v>
          </cell>
          <cell r="C556" t="str">
            <v>Malla antisismica 12 x 50</v>
          </cell>
          <cell r="D556">
            <v>54.35</v>
          </cell>
          <cell r="E556">
            <v>54.35</v>
          </cell>
          <cell r="F556" t="str">
            <v xml:space="preserve"> 102</v>
          </cell>
          <cell r="G556">
            <v>0</v>
          </cell>
        </row>
        <row r="557">
          <cell r="A557">
            <v>554</v>
          </cell>
          <cell r="B557" t="str">
            <v>ZADELCA VARILLA CORRUGADA</v>
          </cell>
          <cell r="C557" t="str">
            <v>Varilla corrugada  8mm</v>
          </cell>
          <cell r="D557">
            <v>0.39500000000000002</v>
          </cell>
          <cell r="E557">
            <v>0.39500000000000002</v>
          </cell>
          <cell r="F557" t="str">
            <v xml:space="preserve"> 102</v>
          </cell>
          <cell r="G557">
            <v>0</v>
          </cell>
        </row>
        <row r="558">
          <cell r="A558">
            <v>555</v>
          </cell>
          <cell r="B558" t="str">
            <v>ZADELCA VARILLA CORRUGADA</v>
          </cell>
          <cell r="C558" t="str">
            <v>Varilla corrugada  10mm</v>
          </cell>
          <cell r="D558">
            <v>0.61699999999999999</v>
          </cell>
          <cell r="E558">
            <v>0.61699999999999999</v>
          </cell>
          <cell r="F558" t="str">
            <v xml:space="preserve"> 203</v>
          </cell>
          <cell r="G558">
            <v>0</v>
          </cell>
        </row>
        <row r="559">
          <cell r="A559">
            <v>556</v>
          </cell>
          <cell r="B559" t="str">
            <v>ZADELCA VARILLA CORRUGADA</v>
          </cell>
          <cell r="C559" t="str">
            <v>Varilla Lisa  12mm</v>
          </cell>
          <cell r="D559">
            <v>0.88800000000000001</v>
          </cell>
          <cell r="E559">
            <v>0.88800000000000001</v>
          </cell>
          <cell r="F559" t="str">
            <v xml:space="preserve"> 305</v>
          </cell>
          <cell r="G559">
            <v>0</v>
          </cell>
        </row>
        <row r="560">
          <cell r="A560">
            <v>557</v>
          </cell>
          <cell r="B560" t="str">
            <v>ZADELCA VARILLA CORRUGADA</v>
          </cell>
          <cell r="C560" t="str">
            <v>Varilla corrugada  14mm</v>
          </cell>
          <cell r="D560">
            <v>1.208</v>
          </cell>
          <cell r="E560">
            <v>1.208</v>
          </cell>
          <cell r="F560" t="str">
            <v xml:space="preserve"> 305</v>
          </cell>
          <cell r="G560">
            <v>0</v>
          </cell>
        </row>
        <row r="561">
          <cell r="A561">
            <v>558</v>
          </cell>
          <cell r="B561" t="str">
            <v>ZADELCA VARILLA CORRUGADA</v>
          </cell>
          <cell r="C561" t="str">
            <v>Varilla corrugada  16mm</v>
          </cell>
          <cell r="D561">
            <v>1.5780000000000001</v>
          </cell>
          <cell r="E561">
            <v>1.5780000000000001</v>
          </cell>
          <cell r="F561" t="str">
            <v xml:space="preserve"> 51</v>
          </cell>
          <cell r="G561">
            <v>0</v>
          </cell>
        </row>
        <row r="562">
          <cell r="A562">
            <v>559</v>
          </cell>
          <cell r="B562" t="str">
            <v>ZADELCA VARILLA CORRUGADA</v>
          </cell>
          <cell r="C562" t="str">
            <v>Varilla corrugada  18mm</v>
          </cell>
          <cell r="D562">
            <v>1.998</v>
          </cell>
          <cell r="E562">
            <v>1.998</v>
          </cell>
          <cell r="F562" t="str">
            <v xml:space="preserve"> 51</v>
          </cell>
          <cell r="G562">
            <v>0</v>
          </cell>
        </row>
        <row r="563">
          <cell r="A563">
            <v>560</v>
          </cell>
          <cell r="B563" t="str">
            <v>ZADELCA VARILLA CORRUGADA</v>
          </cell>
          <cell r="C563" t="str">
            <v>Varilla corrugada  20mm</v>
          </cell>
          <cell r="D563">
            <v>2.4660000000000002</v>
          </cell>
          <cell r="E563">
            <v>2.4660000000000002</v>
          </cell>
          <cell r="F563" t="str">
            <v xml:space="preserve"> 51</v>
          </cell>
          <cell r="G563">
            <v>0</v>
          </cell>
        </row>
        <row r="564">
          <cell r="A564">
            <v>561</v>
          </cell>
          <cell r="B564" t="str">
            <v>ZADELCA VARILLA CORRUGADA</v>
          </cell>
          <cell r="C564" t="str">
            <v>Varilla corrugada  22mm</v>
          </cell>
          <cell r="D564">
            <v>2.984</v>
          </cell>
          <cell r="E564">
            <v>2.984</v>
          </cell>
          <cell r="F564" t="str">
            <v xml:space="preserve"> 51</v>
          </cell>
          <cell r="G564">
            <v>0</v>
          </cell>
        </row>
        <row r="565">
          <cell r="A565">
            <v>562</v>
          </cell>
          <cell r="B565" t="str">
            <v>ZADELCA VARILLA CORRUGADA</v>
          </cell>
          <cell r="C565" t="str">
            <v>Varilla corrugada  25mm</v>
          </cell>
          <cell r="D565">
            <v>3.8530000000000002</v>
          </cell>
          <cell r="E565">
            <v>3.8530000000000002</v>
          </cell>
          <cell r="F565" t="str">
            <v xml:space="preserve"> 76</v>
          </cell>
          <cell r="G565">
            <v>0</v>
          </cell>
        </row>
        <row r="566">
          <cell r="A566">
            <v>563</v>
          </cell>
          <cell r="B566" t="str">
            <v>ZADELCA VARILLA CORRUGADA</v>
          </cell>
          <cell r="C566" t="str">
            <v>Varilla corrugada  28mm</v>
          </cell>
          <cell r="D566">
            <v>4.8339999999999996</v>
          </cell>
          <cell r="E566">
            <v>4.8339999999999996</v>
          </cell>
          <cell r="F566" t="str">
            <v xml:space="preserve"> 152</v>
          </cell>
          <cell r="G566">
            <v>0</v>
          </cell>
        </row>
        <row r="567">
          <cell r="A567">
            <v>564</v>
          </cell>
          <cell r="B567" t="str">
            <v>ZADELCA VARILLA CORRUGADA</v>
          </cell>
          <cell r="C567" t="str">
            <v>Varilla corrugada  32mm</v>
          </cell>
          <cell r="D567">
            <v>6.3129999999999997</v>
          </cell>
          <cell r="E567">
            <v>6.3129999999999997</v>
          </cell>
          <cell r="F567" t="str">
            <v xml:space="preserve"> 178</v>
          </cell>
          <cell r="G567">
            <v>0</v>
          </cell>
        </row>
        <row r="568">
          <cell r="A568">
            <v>565</v>
          </cell>
          <cell r="B568" t="str">
            <v>ZADELCA VARILLA CORRUGADA</v>
          </cell>
          <cell r="C568" t="str">
            <v>Varilla corrugada  36mm</v>
          </cell>
          <cell r="D568">
            <v>7.99</v>
          </cell>
          <cell r="E568">
            <v>7.99</v>
          </cell>
          <cell r="F568" t="str">
            <v xml:space="preserve"> 102</v>
          </cell>
          <cell r="G568">
            <v>0</v>
          </cell>
        </row>
        <row r="569">
          <cell r="A569">
            <v>566</v>
          </cell>
          <cell r="B569" t="str">
            <v>ZADELCA VARILLA CORRUGADA</v>
          </cell>
          <cell r="C569" t="str">
            <v>Varilla corrugada  40mm</v>
          </cell>
          <cell r="D569">
            <v>9.8650000000000002</v>
          </cell>
          <cell r="E569">
            <v>9.8650000000000002</v>
          </cell>
          <cell r="F569" t="str">
            <v xml:space="preserve"> 200</v>
          </cell>
          <cell r="G569">
            <v>0</v>
          </cell>
        </row>
        <row r="570">
          <cell r="A570">
            <v>1001</v>
          </cell>
          <cell r="B570" t="str">
            <v xml:space="preserve">PERNOS CON TUERCA </v>
          </cell>
          <cell r="C570" t="str">
            <v>Perno 3/8" x 3/4" con tuerca</v>
          </cell>
          <cell r="D570">
            <v>0</v>
          </cell>
          <cell r="E570">
            <v>2.2916600000000002E-2</v>
          </cell>
          <cell r="F570" t="str">
            <v xml:space="preserve"> 200</v>
          </cell>
          <cell r="G570" t="str">
            <v>200</v>
          </cell>
        </row>
        <row r="571">
          <cell r="A571">
            <v>1002</v>
          </cell>
          <cell r="B571" t="str">
            <v xml:space="preserve">PERNOS CON TUERCA </v>
          </cell>
          <cell r="C571" t="str">
            <v>Perno 3/8" x 1" con tuerca</v>
          </cell>
          <cell r="D571">
            <v>0</v>
          </cell>
          <cell r="E571">
            <v>2.521E-2</v>
          </cell>
          <cell r="F571" t="str">
            <v xml:space="preserve"> 203</v>
          </cell>
          <cell r="G571" t="str">
            <v>203</v>
          </cell>
        </row>
        <row r="572">
          <cell r="A572">
            <v>1003</v>
          </cell>
          <cell r="B572" t="str">
            <v xml:space="preserve">PERNOS CON TUERCA </v>
          </cell>
          <cell r="C572" t="str">
            <v>Perno 3/8" x 1 1/4" con tuerca</v>
          </cell>
          <cell r="D572">
            <v>0</v>
          </cell>
          <cell r="E572">
            <v>2.8250000000000001E-2</v>
          </cell>
          <cell r="F572" t="str">
            <v xml:space="preserve"> 203</v>
          </cell>
          <cell r="G572" t="str">
            <v>203</v>
          </cell>
        </row>
        <row r="573">
          <cell r="A573">
            <v>1004</v>
          </cell>
          <cell r="B573" t="str">
            <v xml:space="preserve">PERNOS CON TUERCA </v>
          </cell>
          <cell r="C573" t="str">
            <v>Perno 3/8" x 1 1/2" con tuerca</v>
          </cell>
          <cell r="D573">
            <v>0</v>
          </cell>
          <cell r="E573">
            <v>3.2050000000000002E-2</v>
          </cell>
          <cell r="F573" t="str">
            <v xml:space="preserve"> 203</v>
          </cell>
          <cell r="G573" t="str">
            <v>203</v>
          </cell>
        </row>
        <row r="574">
          <cell r="A574">
            <v>1005</v>
          </cell>
          <cell r="B574" t="str">
            <v xml:space="preserve">PERNOS CON TUERCA </v>
          </cell>
          <cell r="C574" t="str">
            <v>Perno 3/8" x 2" con tuerca</v>
          </cell>
          <cell r="D574">
            <v>0</v>
          </cell>
          <cell r="E574">
            <v>3.9149999999999997E-2</v>
          </cell>
          <cell r="F574" t="str">
            <v xml:space="preserve"> 203</v>
          </cell>
          <cell r="G574" t="str">
            <v>203</v>
          </cell>
        </row>
        <row r="575">
          <cell r="A575">
            <v>1006</v>
          </cell>
          <cell r="B575" t="str">
            <v xml:space="preserve">PERNOS CON TUERCA </v>
          </cell>
          <cell r="C575" t="str">
            <v>Perno 1/2" x 1" con tuerca</v>
          </cell>
          <cell r="D575">
            <v>0</v>
          </cell>
          <cell r="E575">
            <v>5.4366600000000001E-2</v>
          </cell>
          <cell r="F575" t="str">
            <v xml:space="preserve"> 305</v>
          </cell>
          <cell r="G575" t="str">
            <v>305</v>
          </cell>
        </row>
        <row r="576">
          <cell r="A576">
            <v>1007</v>
          </cell>
          <cell r="B576" t="str">
            <v xml:space="preserve">PERNOS CON TUERCA </v>
          </cell>
          <cell r="C576" t="str">
            <v>Perno 1/2" x 1 1/2" con tuerca</v>
          </cell>
          <cell r="D576">
            <v>0</v>
          </cell>
          <cell r="E576">
            <v>6.6500000000000004E-2</v>
          </cell>
          <cell r="F576" t="str">
            <v xml:space="preserve"> 305</v>
          </cell>
          <cell r="G576" t="str">
            <v>305</v>
          </cell>
        </row>
        <row r="577">
          <cell r="A577">
            <v>1008</v>
          </cell>
          <cell r="B577" t="str">
            <v xml:space="preserve">PERNOS CON TUERCA </v>
          </cell>
          <cell r="C577" t="str">
            <v>Perno 1/2" x 2" con tuerca</v>
          </cell>
          <cell r="D577">
            <v>0</v>
          </cell>
          <cell r="E577">
            <v>7.9325000000000007E-2</v>
          </cell>
          <cell r="F577" t="str">
            <v xml:space="preserve"> 305</v>
          </cell>
          <cell r="G577" t="str">
            <v>305</v>
          </cell>
        </row>
        <row r="578">
          <cell r="A578">
            <v>1009</v>
          </cell>
          <cell r="B578" t="str">
            <v xml:space="preserve">PERNOS CON TUERCA </v>
          </cell>
          <cell r="C578" t="str">
            <v>Perno 1/2" x 2 1/2" con tuerca</v>
          </cell>
          <cell r="D578">
            <v>0</v>
          </cell>
          <cell r="E578">
            <v>9.2033300000000012E-2</v>
          </cell>
          <cell r="F578" t="str">
            <v xml:space="preserve"> 168</v>
          </cell>
          <cell r="G578">
            <v>0</v>
          </cell>
        </row>
        <row r="579">
          <cell r="A579">
            <v>1010</v>
          </cell>
          <cell r="B579" t="str">
            <v xml:space="preserve">PERNOS CON TUERCA </v>
          </cell>
          <cell r="C579" t="str">
            <v>Perno 1/2" x 3" con tuerca</v>
          </cell>
          <cell r="D579">
            <v>0</v>
          </cell>
          <cell r="E579">
            <v>0.1043</v>
          </cell>
          <cell r="F579" t="str">
            <v xml:space="preserve"> 219</v>
          </cell>
          <cell r="G579">
            <v>0</v>
          </cell>
        </row>
        <row r="580">
          <cell r="A580">
            <v>1011</v>
          </cell>
          <cell r="B580" t="str">
            <v xml:space="preserve">PERNOS CON TUERCA </v>
          </cell>
          <cell r="C580" t="str">
            <v>Perno 1/2" x 4" con tuerca</v>
          </cell>
          <cell r="D580">
            <v>0</v>
          </cell>
          <cell r="E580">
            <v>0.12970000000000001</v>
          </cell>
          <cell r="F580" t="str">
            <v xml:space="preserve"> 273</v>
          </cell>
          <cell r="G580">
            <v>0</v>
          </cell>
        </row>
        <row r="581">
          <cell r="A581">
            <v>1012</v>
          </cell>
          <cell r="B581" t="str">
            <v xml:space="preserve">PERNOS CON TUERCA </v>
          </cell>
          <cell r="C581" t="str">
            <v>Perno 1/2" x 5" con tuerca</v>
          </cell>
          <cell r="D581">
            <v>0</v>
          </cell>
          <cell r="E581">
            <v>0.1527</v>
          </cell>
          <cell r="F581" t="str">
            <v xml:space="preserve"> 324</v>
          </cell>
          <cell r="G581">
            <v>0</v>
          </cell>
        </row>
        <row r="582">
          <cell r="A582">
            <v>1013</v>
          </cell>
          <cell r="B582" t="str">
            <v xml:space="preserve">PERNOS CON TUERCA </v>
          </cell>
          <cell r="C582" t="str">
            <v>Perno 5/8" x 1" con tuerca</v>
          </cell>
          <cell r="D582">
            <v>0</v>
          </cell>
          <cell r="E582">
            <v>0.1010857</v>
          </cell>
          <cell r="F582" t="str">
            <v xml:space="preserve"> 406</v>
          </cell>
          <cell r="G582">
            <v>0</v>
          </cell>
        </row>
        <row r="583">
          <cell r="A583">
            <v>1014</v>
          </cell>
          <cell r="B583" t="str">
            <v xml:space="preserve">PERNOS CON TUERCA </v>
          </cell>
          <cell r="C583" t="str">
            <v>Perno 5/8" x 1 1/2" con tuerca</v>
          </cell>
          <cell r="D583">
            <v>0</v>
          </cell>
          <cell r="E583">
            <v>0.13819999999999999</v>
          </cell>
          <cell r="F583" t="str">
            <v xml:space="preserve"> 550</v>
          </cell>
          <cell r="G583">
            <v>0</v>
          </cell>
        </row>
        <row r="584">
          <cell r="A584">
            <v>1015</v>
          </cell>
          <cell r="B584" t="str">
            <v xml:space="preserve">PERNOS CON TUERCA </v>
          </cell>
          <cell r="C584" t="str">
            <v>Perno 5/8" x 2" con tuerca</v>
          </cell>
          <cell r="D584">
            <v>0</v>
          </cell>
          <cell r="E584">
            <v>0.1338</v>
          </cell>
          <cell r="F584">
            <v>101.5</v>
          </cell>
          <cell r="G584">
            <v>102</v>
          </cell>
        </row>
        <row r="585">
          <cell r="A585">
            <v>1016</v>
          </cell>
          <cell r="B585" t="str">
            <v xml:space="preserve">PERNOS CON TUERCA </v>
          </cell>
          <cell r="C585" t="str">
            <v>Perno 5/8" x 2 1/2" con tuerca</v>
          </cell>
          <cell r="D585">
            <v>0</v>
          </cell>
          <cell r="E585">
            <v>0.15529999999999999</v>
          </cell>
          <cell r="F585">
            <v>103.5</v>
          </cell>
          <cell r="G585">
            <v>133</v>
          </cell>
        </row>
        <row r="586">
          <cell r="A586">
            <v>1017</v>
          </cell>
          <cell r="B586" t="str">
            <v xml:space="preserve">PERNOS CON TUERCA </v>
          </cell>
          <cell r="C586" t="str">
            <v>Perno 5/8" x 3" con tuerca</v>
          </cell>
          <cell r="D586">
            <v>0</v>
          </cell>
          <cell r="E586">
            <v>0.17779999999999999</v>
          </cell>
          <cell r="F586">
            <v>105</v>
          </cell>
          <cell r="G586">
            <v>134</v>
          </cell>
        </row>
        <row r="587">
          <cell r="A587">
            <v>1018</v>
          </cell>
          <cell r="B587" t="str">
            <v xml:space="preserve">PERNOS CON TUERCA </v>
          </cell>
          <cell r="C587" t="str">
            <v>Perno 5/8" x 4" con tuerca</v>
          </cell>
          <cell r="D587">
            <v>0</v>
          </cell>
          <cell r="E587">
            <v>0.21240000000000001</v>
          </cell>
          <cell r="F587">
            <v>100</v>
          </cell>
          <cell r="G587">
            <v>165</v>
          </cell>
        </row>
        <row r="588">
          <cell r="A588">
            <v>1019</v>
          </cell>
          <cell r="B588" t="str">
            <v xml:space="preserve">PERNOS CON TUERCA </v>
          </cell>
          <cell r="C588" t="str">
            <v>Perno 5/8" x 5" con tuerca</v>
          </cell>
          <cell r="D588">
            <v>0</v>
          </cell>
          <cell r="E588">
            <v>0.24729999999999999</v>
          </cell>
          <cell r="F588">
            <v>102.5</v>
          </cell>
          <cell r="G588">
            <v>166</v>
          </cell>
        </row>
        <row r="589">
          <cell r="A589">
            <v>1020</v>
          </cell>
          <cell r="B589" t="str">
            <v xml:space="preserve">PERNOS CON TUERCA </v>
          </cell>
          <cell r="C589" t="str">
            <v>Perno 3/4" x 1 1/2" con tuerca</v>
          </cell>
          <cell r="D589">
            <v>0</v>
          </cell>
          <cell r="E589">
            <v>0.19055555555555556</v>
          </cell>
          <cell r="F589">
            <v>102</v>
          </cell>
          <cell r="G589">
            <v>203</v>
          </cell>
        </row>
        <row r="590">
          <cell r="A590">
            <v>1021</v>
          </cell>
          <cell r="B590" t="str">
            <v xml:space="preserve">PERNOS CON TUERCA </v>
          </cell>
          <cell r="C590" t="str">
            <v>Perno 3/4" x 2" con tuerca</v>
          </cell>
          <cell r="D590">
            <v>0</v>
          </cell>
          <cell r="E590">
            <v>0.21222215555555554</v>
          </cell>
          <cell r="F590">
            <v>103</v>
          </cell>
          <cell r="G590">
            <v>204</v>
          </cell>
        </row>
        <row r="591">
          <cell r="A591">
            <v>1022</v>
          </cell>
          <cell r="B591" t="str">
            <v xml:space="preserve">PERNOS CON TUERCA </v>
          </cell>
          <cell r="C591" t="str">
            <v>Perno 3/4" x 2 1/2" con tuerca</v>
          </cell>
          <cell r="D591">
            <v>0</v>
          </cell>
          <cell r="E591">
            <v>0.24035555555555554</v>
          </cell>
          <cell r="F591">
            <v>128.5</v>
          </cell>
          <cell r="G591">
            <v>102</v>
          </cell>
        </row>
        <row r="592">
          <cell r="A592">
            <v>1023</v>
          </cell>
          <cell r="B592" t="str">
            <v xml:space="preserve">PERNOS CON TUERCA </v>
          </cell>
          <cell r="C592" t="str">
            <v>Perno 3/4" x 3" con tuerca</v>
          </cell>
          <cell r="D592">
            <v>0</v>
          </cell>
          <cell r="E592">
            <v>0.27155555555555555</v>
          </cell>
          <cell r="F592">
            <v>131</v>
          </cell>
          <cell r="G592">
            <v>147</v>
          </cell>
        </row>
        <row r="593">
          <cell r="A593">
            <v>1024</v>
          </cell>
          <cell r="B593" t="str">
            <v xml:space="preserve">PERNOS CON TUERCA </v>
          </cell>
          <cell r="C593" t="str">
            <v>Perno 3/4" x 4" con tuerca</v>
          </cell>
          <cell r="D593">
            <v>0</v>
          </cell>
          <cell r="E593">
            <v>0.32488855555555557</v>
          </cell>
          <cell r="F593">
            <v>123.5</v>
          </cell>
          <cell r="G593">
            <v>202</v>
          </cell>
        </row>
        <row r="594">
          <cell r="A594">
            <v>1025</v>
          </cell>
          <cell r="B594" t="str">
            <v xml:space="preserve">PERNOS CON TUERCA </v>
          </cell>
          <cell r="C594" t="str">
            <v>Perno 3/4" x 5" con tuerca</v>
          </cell>
          <cell r="D594">
            <v>0</v>
          </cell>
          <cell r="E594">
            <v>0.37822222222222224</v>
          </cell>
          <cell r="F594">
            <v>126</v>
          </cell>
          <cell r="G594">
            <v>203</v>
          </cell>
        </row>
        <row r="595">
          <cell r="A595">
            <v>1026</v>
          </cell>
          <cell r="B595" t="str">
            <v>PERNOS</v>
          </cell>
          <cell r="C595" t="str">
            <v>Perno 3/8" x 3/4"</v>
          </cell>
          <cell r="D595">
            <v>0</v>
          </cell>
          <cell r="E595">
            <v>1.5866600000000002E-2</v>
          </cell>
          <cell r="F595">
            <v>128</v>
          </cell>
          <cell r="G595">
            <v>204</v>
          </cell>
        </row>
        <row r="596">
          <cell r="A596">
            <v>1027</v>
          </cell>
          <cell r="B596" t="str">
            <v>PERNOS</v>
          </cell>
          <cell r="C596" t="str">
            <v>Perno 3/8" x 1"</v>
          </cell>
          <cell r="D596">
            <v>0</v>
          </cell>
          <cell r="E596">
            <v>1.8159999999999999E-2</v>
          </cell>
          <cell r="F596">
            <v>126</v>
          </cell>
          <cell r="G596">
            <v>254</v>
          </cell>
        </row>
        <row r="597">
          <cell r="A597">
            <v>1028</v>
          </cell>
          <cell r="B597" t="str">
            <v>PERNOS</v>
          </cell>
          <cell r="C597" t="str">
            <v>Perno 3/8" x 1 1/4"</v>
          </cell>
          <cell r="D597">
            <v>0</v>
          </cell>
          <cell r="E597">
            <v>2.12E-2</v>
          </cell>
          <cell r="F597">
            <v>128</v>
          </cell>
          <cell r="G597">
            <v>255</v>
          </cell>
        </row>
        <row r="598">
          <cell r="A598">
            <v>1029</v>
          </cell>
          <cell r="B598" t="str">
            <v>PERNOS</v>
          </cell>
          <cell r="C598" t="str">
            <v>Perno 3/8" x 1 1/2"</v>
          </cell>
          <cell r="D598">
            <v>0</v>
          </cell>
          <cell r="E598">
            <v>2.5000000000000001E-2</v>
          </cell>
          <cell r="F598">
            <v>156.5</v>
          </cell>
          <cell r="G598">
            <v>166</v>
          </cell>
        </row>
        <row r="599">
          <cell r="A599">
            <v>1030</v>
          </cell>
          <cell r="B599" t="str">
            <v>PERNOS</v>
          </cell>
          <cell r="C599" t="str">
            <v>Perno 3/8" x 2"</v>
          </cell>
          <cell r="D599">
            <v>0</v>
          </cell>
          <cell r="E599">
            <v>3.2099999999999997E-2</v>
          </cell>
          <cell r="F599">
            <v>158</v>
          </cell>
          <cell r="G599">
            <v>167</v>
          </cell>
        </row>
        <row r="600">
          <cell r="A600">
            <v>1031</v>
          </cell>
          <cell r="B600" t="str">
            <v>PERNOS</v>
          </cell>
          <cell r="C600" t="str">
            <v>Perno 1/2" x 1"</v>
          </cell>
          <cell r="D600">
            <v>0</v>
          </cell>
          <cell r="E600">
            <v>3.7666600000000001E-2</v>
          </cell>
          <cell r="F600">
            <v>153</v>
          </cell>
          <cell r="G600">
            <v>254</v>
          </cell>
        </row>
        <row r="601">
          <cell r="A601">
            <v>1032</v>
          </cell>
          <cell r="B601" t="str">
            <v>PERNOS</v>
          </cell>
          <cell r="C601" t="str">
            <v>Perno 1/2" x 1 1/2"</v>
          </cell>
          <cell r="D601">
            <v>0</v>
          </cell>
          <cell r="E601">
            <v>4.9799999999999997E-2</v>
          </cell>
          <cell r="F601">
            <v>155</v>
          </cell>
          <cell r="G601">
            <v>254</v>
          </cell>
        </row>
        <row r="602">
          <cell r="A602">
            <v>1033</v>
          </cell>
          <cell r="B602" t="str">
            <v>PERNOS</v>
          </cell>
          <cell r="C602" t="str">
            <v>Perno 1/2" x 2"</v>
          </cell>
          <cell r="D602">
            <v>0</v>
          </cell>
          <cell r="E602">
            <v>6.2625E-2</v>
          </cell>
          <cell r="F602">
            <v>158</v>
          </cell>
          <cell r="G602">
            <v>167</v>
          </cell>
        </row>
        <row r="603">
          <cell r="A603">
            <v>1034</v>
          </cell>
          <cell r="B603" t="str">
            <v>PERNOS</v>
          </cell>
          <cell r="C603" t="str">
            <v>Perno 1/2" x 2 1/2"</v>
          </cell>
          <cell r="D603">
            <v>0</v>
          </cell>
          <cell r="E603">
            <v>7.5333300000000006E-2</v>
          </cell>
          <cell r="F603">
            <v>178</v>
          </cell>
          <cell r="G603">
            <v>171</v>
          </cell>
        </row>
        <row r="604">
          <cell r="A604">
            <v>1035</v>
          </cell>
          <cell r="B604" t="str">
            <v>PERNOS</v>
          </cell>
          <cell r="C604" t="str">
            <v>Perno 1/2" x 3"</v>
          </cell>
          <cell r="D604">
            <v>0</v>
          </cell>
          <cell r="E604">
            <v>8.7599999999999997E-2</v>
          </cell>
          <cell r="F604">
            <v>177</v>
          </cell>
          <cell r="G604">
            <v>205</v>
          </cell>
        </row>
        <row r="605">
          <cell r="A605">
            <v>1036</v>
          </cell>
          <cell r="B605" t="str">
            <v>PERNOS</v>
          </cell>
          <cell r="C605" t="str">
            <v>Perno 1/2" x 4"</v>
          </cell>
          <cell r="D605">
            <v>0</v>
          </cell>
          <cell r="E605">
            <v>0.113</v>
          </cell>
          <cell r="F605">
            <v>176</v>
          </cell>
          <cell r="G605">
            <v>254</v>
          </cell>
        </row>
        <row r="606">
          <cell r="A606">
            <v>1037</v>
          </cell>
          <cell r="B606" t="str">
            <v>PERNOS</v>
          </cell>
          <cell r="C606" t="str">
            <v>Perno 1/2" x 5"</v>
          </cell>
          <cell r="D606">
            <v>0</v>
          </cell>
          <cell r="E606">
            <v>0.13600000000000001</v>
          </cell>
          <cell r="F606">
            <v>205</v>
          </cell>
          <cell r="G606">
            <v>179</v>
          </cell>
        </row>
        <row r="607">
          <cell r="A607">
            <v>1038</v>
          </cell>
          <cell r="B607" t="str">
            <v>PERNOS</v>
          </cell>
          <cell r="C607" t="str">
            <v>Perno 5/8" x 1"</v>
          </cell>
          <cell r="D607">
            <v>0</v>
          </cell>
          <cell r="E607">
            <v>6.8285700000000005E-2</v>
          </cell>
          <cell r="F607">
            <v>208</v>
          </cell>
          <cell r="G607">
            <v>260</v>
          </cell>
        </row>
        <row r="608">
          <cell r="A608">
            <v>1039</v>
          </cell>
          <cell r="B608" t="str">
            <v>PERNOS</v>
          </cell>
          <cell r="C608" t="str">
            <v>Perno 5/8" x 1 1/2"</v>
          </cell>
          <cell r="D608">
            <v>0</v>
          </cell>
          <cell r="E608">
            <v>0.10539999999999999</v>
          </cell>
          <cell r="F608">
            <v>210</v>
          </cell>
          <cell r="G608">
            <v>261</v>
          </cell>
        </row>
        <row r="609">
          <cell r="A609">
            <v>1040</v>
          </cell>
          <cell r="B609" t="str">
            <v>PERNOS</v>
          </cell>
          <cell r="C609" t="str">
            <v>Perno 5/8" x 2"</v>
          </cell>
          <cell r="D609">
            <v>0</v>
          </cell>
          <cell r="E609">
            <v>0.10100000000000001</v>
          </cell>
          <cell r="F609">
            <v>228</v>
          </cell>
          <cell r="G609">
            <v>190</v>
          </cell>
        </row>
        <row r="610">
          <cell r="A610">
            <v>1041</v>
          </cell>
          <cell r="B610" t="str">
            <v>PERNOS</v>
          </cell>
          <cell r="C610" t="str">
            <v>Perno 5/8" x 2 1/2"</v>
          </cell>
          <cell r="D610">
            <v>0</v>
          </cell>
          <cell r="E610">
            <v>0.1225</v>
          </cell>
          <cell r="F610">
            <v>101.6</v>
          </cell>
          <cell r="G610">
            <v>153.16200000000001</v>
          </cell>
        </row>
        <row r="611">
          <cell r="A611">
            <v>1042</v>
          </cell>
          <cell r="B611" t="str">
            <v>PERNOS</v>
          </cell>
          <cell r="C611" t="str">
            <v>Perno 5/8" x 3"</v>
          </cell>
          <cell r="D611">
            <v>0</v>
          </cell>
          <cell r="E611">
            <v>0.14499999999999999</v>
          </cell>
          <cell r="F611">
            <v>152.14599999999999</v>
          </cell>
          <cell r="G611">
            <v>152.14599999999999</v>
          </cell>
        </row>
        <row r="612">
          <cell r="A612">
            <v>1043</v>
          </cell>
          <cell r="B612" t="str">
            <v>PERNOS</v>
          </cell>
          <cell r="C612" t="str">
            <v>Perno 5/8" x 4"</v>
          </cell>
          <cell r="D612">
            <v>0</v>
          </cell>
          <cell r="E612">
            <v>0.17960000000000001</v>
          </cell>
          <cell r="F612">
            <v>152.90799999999999</v>
          </cell>
          <cell r="G612">
            <v>157.47999999999999</v>
          </cell>
        </row>
        <row r="613">
          <cell r="A613">
            <v>1044</v>
          </cell>
          <cell r="B613" t="str">
            <v>PERNOS</v>
          </cell>
          <cell r="C613" t="str">
            <v>Perno 5/8" x 5"</v>
          </cell>
          <cell r="D613">
            <v>0</v>
          </cell>
          <cell r="E613">
            <v>0.2145</v>
          </cell>
          <cell r="F613">
            <v>165</v>
          </cell>
          <cell r="G613">
            <v>201</v>
          </cell>
        </row>
        <row r="614">
          <cell r="A614">
            <v>1045</v>
          </cell>
          <cell r="B614" t="str">
            <v>PERNOS</v>
          </cell>
          <cell r="C614" t="str">
            <v>Perno 3/4" x 1 1/2"</v>
          </cell>
          <cell r="D614">
            <v>0</v>
          </cell>
          <cell r="E614">
            <v>0.13700000000000001</v>
          </cell>
          <cell r="F614">
            <v>203.70799999999997</v>
          </cell>
          <cell r="G614">
            <v>206.24799999999996</v>
          </cell>
        </row>
        <row r="615">
          <cell r="A615">
            <v>1046</v>
          </cell>
          <cell r="B615" t="str">
            <v>PERNOS</v>
          </cell>
          <cell r="C615" t="str">
            <v>Perno 3/4" x 2"</v>
          </cell>
          <cell r="D615">
            <v>0</v>
          </cell>
          <cell r="E615">
            <v>0.15866659999999999</v>
          </cell>
          <cell r="F615">
            <v>147.57399999999998</v>
          </cell>
          <cell r="G615">
            <v>265.93799999999999</v>
          </cell>
        </row>
        <row r="616">
          <cell r="A616">
            <v>1047</v>
          </cell>
          <cell r="B616" t="str">
            <v>PERNOS</v>
          </cell>
          <cell r="C616" t="str">
            <v>Perno 3/4" x 2 1/2"</v>
          </cell>
          <cell r="D616">
            <v>0</v>
          </cell>
          <cell r="E616">
            <v>0.18679999999999999</v>
          </cell>
          <cell r="F616">
            <v>202.184</v>
          </cell>
          <cell r="G616">
            <v>247.142</v>
          </cell>
        </row>
        <row r="617">
          <cell r="A617">
            <v>1048</v>
          </cell>
          <cell r="B617" t="str">
            <v>PERNOS</v>
          </cell>
          <cell r="C617" t="str">
            <v>Perno 3/4" x 3"</v>
          </cell>
          <cell r="D617">
            <v>0</v>
          </cell>
          <cell r="E617">
            <v>0.218</v>
          </cell>
          <cell r="F617">
            <v>152</v>
          </cell>
          <cell r="G617">
            <v>152</v>
          </cell>
        </row>
        <row r="618">
          <cell r="A618">
            <v>1049</v>
          </cell>
          <cell r="B618" t="str">
            <v>PERNOS</v>
          </cell>
          <cell r="C618" t="str">
            <v>Perno 3/4" x 4"</v>
          </cell>
          <cell r="D618">
            <v>0</v>
          </cell>
          <cell r="E618">
            <v>0.27133299999999999</v>
          </cell>
          <cell r="F618">
            <v>207</v>
          </cell>
          <cell r="G618">
            <v>133</v>
          </cell>
        </row>
        <row r="619">
          <cell r="A619">
            <v>1050</v>
          </cell>
          <cell r="B619" t="str">
            <v>PERNOS</v>
          </cell>
          <cell r="C619" t="str">
            <v>Perno 3/4" x 5"</v>
          </cell>
          <cell r="D619">
            <v>0</v>
          </cell>
          <cell r="E619">
            <v>0.32466666666666666</v>
          </cell>
          <cell r="F619">
            <v>206</v>
          </cell>
          <cell r="G619">
            <v>102</v>
          </cell>
        </row>
        <row r="620">
          <cell r="A620">
            <v>1051</v>
          </cell>
          <cell r="B620" t="str">
            <v>TUERCAS</v>
          </cell>
          <cell r="C620" t="str">
            <v>Tuerca exagonal de 3/8"</v>
          </cell>
          <cell r="D620">
            <v>0</v>
          </cell>
          <cell r="E620">
            <v>7.0499999999999998E-3</v>
          </cell>
          <cell r="F620">
            <v>206</v>
          </cell>
          <cell r="G620">
            <v>204</v>
          </cell>
        </row>
        <row r="621">
          <cell r="A621">
            <v>1052</v>
          </cell>
          <cell r="B621" t="str">
            <v>TUERCAS</v>
          </cell>
          <cell r="C621" t="str">
            <v>Tuerca exagonal de 1/2"</v>
          </cell>
          <cell r="D621">
            <v>0</v>
          </cell>
          <cell r="E621">
            <v>1.67E-2</v>
          </cell>
          <cell r="F621">
            <v>201</v>
          </cell>
          <cell r="G621">
            <v>165</v>
          </cell>
        </row>
        <row r="622">
          <cell r="A622">
            <v>1053</v>
          </cell>
          <cell r="B622" t="str">
            <v>TUERCAS</v>
          </cell>
          <cell r="C622" t="str">
            <v>Tuerca exagonal de 5/8"</v>
          </cell>
          <cell r="D622">
            <v>0</v>
          </cell>
          <cell r="E622">
            <v>3.2800000000000003E-2</v>
          </cell>
          <cell r="F622">
            <v>247</v>
          </cell>
          <cell r="G622">
            <v>202</v>
          </cell>
        </row>
        <row r="623">
          <cell r="A623">
            <v>1054</v>
          </cell>
          <cell r="B623" t="str">
            <v>TUERCAS</v>
          </cell>
          <cell r="C623" t="str">
            <v>Tuerca exagonal de 3/4"</v>
          </cell>
          <cell r="D623">
            <v>0</v>
          </cell>
          <cell r="E623">
            <v>5.3555555555555558E-2</v>
          </cell>
          <cell r="F623">
            <v>257</v>
          </cell>
          <cell r="G623">
            <v>204</v>
          </cell>
        </row>
        <row r="624">
          <cell r="A624">
            <v>1055</v>
          </cell>
          <cell r="B624" t="str">
            <v>TUERCAS</v>
          </cell>
          <cell r="C624" t="str">
            <v>Tuerca exagonal de 7/8"</v>
          </cell>
          <cell r="D624">
            <v>0</v>
          </cell>
          <cell r="E624">
            <v>8.3599999999999994E-2</v>
          </cell>
          <cell r="F624">
            <v>253</v>
          </cell>
          <cell r="G624">
            <v>254</v>
          </cell>
        </row>
        <row r="625">
          <cell r="A625">
            <v>1056</v>
          </cell>
          <cell r="B625" t="str">
            <v>TUERCAS</v>
          </cell>
          <cell r="C625" t="str">
            <v>Tuerca exagonal de 1"</v>
          </cell>
          <cell r="D625">
            <v>0</v>
          </cell>
          <cell r="E625">
            <v>0.11874999999999999</v>
          </cell>
          <cell r="F625" t="str">
            <v>310</v>
          </cell>
          <cell r="G625">
            <v>165</v>
          </cell>
        </row>
        <row r="626">
          <cell r="A626">
            <v>1057</v>
          </cell>
          <cell r="B626" t="str">
            <v>TUERCAS</v>
          </cell>
          <cell r="C626" t="str">
            <v>Tuerca exagonal de 1 1/8"</v>
          </cell>
          <cell r="D626">
            <v>0</v>
          </cell>
          <cell r="E626">
            <v>0.19600000000000001</v>
          </cell>
          <cell r="F626">
            <v>357</v>
          </cell>
          <cell r="G626">
            <v>255</v>
          </cell>
        </row>
        <row r="627">
          <cell r="A627">
            <v>1058</v>
          </cell>
          <cell r="B627" t="str">
            <v>TUERCAS</v>
          </cell>
          <cell r="C627" t="str">
            <v>Tuerca exagonal de 1 1/4"</v>
          </cell>
          <cell r="D627">
            <v>0</v>
          </cell>
          <cell r="E627">
            <v>0.251</v>
          </cell>
          <cell r="F627" t="str">
            <v>360</v>
          </cell>
          <cell r="G627">
            <v>256</v>
          </cell>
        </row>
        <row r="628">
          <cell r="A628">
            <v>1059</v>
          </cell>
          <cell r="B628" t="str">
            <v>TUERCAS</v>
          </cell>
          <cell r="C628" t="str">
            <v>Tuerca exagonal de 1 1/2"</v>
          </cell>
          <cell r="D628">
            <v>0</v>
          </cell>
          <cell r="E628">
            <v>0.44400000000000001</v>
          </cell>
          <cell r="F628">
            <v>356</v>
          </cell>
          <cell r="G628">
            <v>369</v>
          </cell>
        </row>
        <row r="629">
          <cell r="A629">
            <v>1060</v>
          </cell>
          <cell r="B629" t="str">
            <v>ARANDELA PLANA</v>
          </cell>
          <cell r="C629" t="str">
            <v>Arandela Plana de 3/8"</v>
          </cell>
          <cell r="D629">
            <v>0</v>
          </cell>
          <cell r="E629">
            <v>39</v>
          </cell>
          <cell r="F629">
            <v>353</v>
          </cell>
          <cell r="G629">
            <v>128</v>
          </cell>
        </row>
        <row r="630">
          <cell r="A630">
            <v>1061</v>
          </cell>
          <cell r="B630" t="str">
            <v>ARANDELA PLANA</v>
          </cell>
          <cell r="C630" t="str">
            <v>Arandela Plana de 1/2"</v>
          </cell>
          <cell r="D630">
            <v>0</v>
          </cell>
          <cell r="E630">
            <v>72</v>
          </cell>
          <cell r="F630">
            <v>350</v>
          </cell>
          <cell r="G630">
            <v>204</v>
          </cell>
        </row>
        <row r="631">
          <cell r="A631">
            <v>1062</v>
          </cell>
          <cell r="B631" t="str">
            <v>ARANDELA PLANA</v>
          </cell>
          <cell r="C631" t="str">
            <v>Arandela Plana de 5/8"</v>
          </cell>
          <cell r="D631">
            <v>0</v>
          </cell>
          <cell r="E631">
            <v>79</v>
          </cell>
          <cell r="F631">
            <v>354</v>
          </cell>
          <cell r="G631">
            <v>205</v>
          </cell>
        </row>
        <row r="632">
          <cell r="A632">
            <v>1063</v>
          </cell>
          <cell r="B632" t="str">
            <v>ARANDELA PLANA</v>
          </cell>
          <cell r="C632" t="str">
            <v>Arandela Plana de 3/4"</v>
          </cell>
          <cell r="D632">
            <v>0</v>
          </cell>
          <cell r="E632">
            <v>91</v>
          </cell>
          <cell r="F632">
            <v>353</v>
          </cell>
          <cell r="G632">
            <v>254</v>
          </cell>
        </row>
        <row r="633">
          <cell r="A633">
            <v>1064</v>
          </cell>
          <cell r="B633" t="str">
            <v>ARANDELA PLANA</v>
          </cell>
          <cell r="C633" t="str">
            <v>Arandela Plana de 7/8"</v>
          </cell>
          <cell r="D633">
            <v>0</v>
          </cell>
          <cell r="E633">
            <v>39</v>
          </cell>
          <cell r="F633">
            <v>399</v>
          </cell>
          <cell r="G633">
            <v>140</v>
          </cell>
        </row>
        <row r="634">
          <cell r="A634">
            <v>1065</v>
          </cell>
          <cell r="B634" t="str">
            <v>ARANDELA PLANA</v>
          </cell>
          <cell r="C634" t="str">
            <v>Arandela Plana de 1"</v>
          </cell>
          <cell r="D634">
            <v>0</v>
          </cell>
          <cell r="E634">
            <v>46.19</v>
          </cell>
          <cell r="F634">
            <v>403</v>
          </cell>
          <cell r="G634">
            <v>140</v>
          </cell>
        </row>
        <row r="635">
          <cell r="A635">
            <v>1066</v>
          </cell>
          <cell r="B635" t="str">
            <v>ARANDELA PLANA</v>
          </cell>
          <cell r="C635" t="str">
            <v>Arandela Plana de 1 1/8"</v>
          </cell>
          <cell r="D635">
            <v>0</v>
          </cell>
          <cell r="E635">
            <v>54</v>
          </cell>
          <cell r="F635">
            <v>403</v>
          </cell>
          <cell r="G635">
            <v>177</v>
          </cell>
        </row>
        <row r="636">
          <cell r="A636">
            <v>1067</v>
          </cell>
          <cell r="B636" t="str">
            <v>ARANDELA PLANA</v>
          </cell>
          <cell r="C636" t="str">
            <v>Arandela Plana de 1 1/4"</v>
          </cell>
          <cell r="D636">
            <v>0</v>
          </cell>
          <cell r="E636">
            <v>60</v>
          </cell>
          <cell r="F636">
            <v>407</v>
          </cell>
          <cell r="G636">
            <v>178</v>
          </cell>
        </row>
        <row r="637">
          <cell r="A637">
            <v>1068</v>
          </cell>
          <cell r="B637" t="str">
            <v>ARANDELA PLANA</v>
          </cell>
          <cell r="C637" t="str">
            <v>Arandela Plana de 1 1/2"</v>
          </cell>
          <cell r="D637">
            <v>0</v>
          </cell>
          <cell r="E637">
            <v>74.5</v>
          </cell>
          <cell r="F637">
            <v>457</v>
          </cell>
          <cell r="G637">
            <v>190</v>
          </cell>
        </row>
        <row r="638">
          <cell r="A638">
            <v>1069</v>
          </cell>
          <cell r="B638" t="str">
            <v>ARANDELA DE PRESION</v>
          </cell>
          <cell r="C638" t="str">
            <v>Arandela de Presion de 3/8"</v>
          </cell>
          <cell r="D638">
            <v>0</v>
          </cell>
          <cell r="E638">
            <v>2.3E-3</v>
          </cell>
          <cell r="F638">
            <v>3</v>
          </cell>
          <cell r="G638">
            <v>12</v>
          </cell>
        </row>
        <row r="639">
          <cell r="A639">
            <v>1070</v>
          </cell>
          <cell r="B639" t="str">
            <v>ARANDELA DE PRESION</v>
          </cell>
          <cell r="C639" t="str">
            <v>Arandela de Presion de 1/2"</v>
          </cell>
          <cell r="D639">
            <v>0</v>
          </cell>
          <cell r="E639">
            <v>3.5999999999999999E-3</v>
          </cell>
          <cell r="F639">
            <v>4</v>
          </cell>
          <cell r="G639">
            <v>12</v>
          </cell>
        </row>
        <row r="640">
          <cell r="A640">
            <v>1071</v>
          </cell>
          <cell r="B640" t="str">
            <v>ARANDELA DE PRESION</v>
          </cell>
          <cell r="C640" t="str">
            <v>Arandela de Presion de 5/8"</v>
          </cell>
          <cell r="D640">
            <v>0</v>
          </cell>
          <cell r="E640">
            <v>8.199999999999999E-3</v>
          </cell>
          <cell r="F640">
            <v>6</v>
          </cell>
          <cell r="G640">
            <v>12</v>
          </cell>
        </row>
        <row r="641">
          <cell r="A641">
            <v>1072</v>
          </cell>
          <cell r="B641" t="str">
            <v>ARANDELA DE PRESION</v>
          </cell>
          <cell r="C641" t="str">
            <v>Arandela de Presion de 3/4"</v>
          </cell>
          <cell r="D641">
            <v>0</v>
          </cell>
          <cell r="E641">
            <v>1.32E-2</v>
          </cell>
          <cell r="F641">
            <v>3</v>
          </cell>
          <cell r="G641">
            <v>19</v>
          </cell>
        </row>
        <row r="642">
          <cell r="A642">
            <v>1073</v>
          </cell>
          <cell r="B642" t="str">
            <v>ARANDELA DE PRESION</v>
          </cell>
          <cell r="C642" t="str">
            <v>Arandela de Presion de 7/8"</v>
          </cell>
          <cell r="D642">
            <v>0</v>
          </cell>
          <cell r="E642">
            <v>1.4800000000000001E-2</v>
          </cell>
          <cell r="F642">
            <v>4</v>
          </cell>
          <cell r="G642">
            <v>19</v>
          </cell>
        </row>
        <row r="643">
          <cell r="A643">
            <v>1074</v>
          </cell>
          <cell r="B643" t="str">
            <v>ARANDELA DE PRESION</v>
          </cell>
          <cell r="C643" t="str">
            <v>Arandela de Presion de 1"</v>
          </cell>
          <cell r="D643">
            <v>0</v>
          </cell>
          <cell r="E643">
            <v>89</v>
          </cell>
          <cell r="F643">
            <v>6</v>
          </cell>
          <cell r="G643">
            <v>19</v>
          </cell>
        </row>
        <row r="644">
          <cell r="A644">
            <v>1075</v>
          </cell>
          <cell r="B644" t="str">
            <v>ARANDELA DE PRESION</v>
          </cell>
          <cell r="C644" t="str">
            <v>Arandela de Presion de 1 1/8"</v>
          </cell>
          <cell r="D644">
            <v>0</v>
          </cell>
          <cell r="E644">
            <v>0.59</v>
          </cell>
          <cell r="F644">
            <v>3</v>
          </cell>
          <cell r="G644">
            <v>25</v>
          </cell>
        </row>
        <row r="645">
          <cell r="A645">
            <v>1076</v>
          </cell>
          <cell r="B645" t="str">
            <v>ARANDELA DE PRESION</v>
          </cell>
          <cell r="C645" t="str">
            <v>Arandela de Presion de 1 1/4"</v>
          </cell>
          <cell r="D645">
            <v>0</v>
          </cell>
          <cell r="E645">
            <v>0.79</v>
          </cell>
          <cell r="F645">
            <v>4</v>
          </cell>
          <cell r="G645">
            <v>25</v>
          </cell>
        </row>
        <row r="646">
          <cell r="A646">
            <v>1077</v>
          </cell>
          <cell r="B646" t="str">
            <v>ARANDELA DE PRESION</v>
          </cell>
          <cell r="C646" t="str">
            <v>Arandela de Presion de 1 1/2"</v>
          </cell>
          <cell r="D646">
            <v>0</v>
          </cell>
          <cell r="E646">
            <v>1.18</v>
          </cell>
          <cell r="F646">
            <v>6</v>
          </cell>
          <cell r="G646">
            <v>25</v>
          </cell>
        </row>
        <row r="647">
          <cell r="A647">
            <v>646</v>
          </cell>
          <cell r="B647" t="str">
            <v>PLATINAS (Laminado)</v>
          </cell>
          <cell r="C647" t="str">
            <v>Plt=25x9.5</v>
          </cell>
          <cell r="D647">
            <v>1.7649999999999999</v>
          </cell>
          <cell r="E647">
            <v>1.7649999999999999</v>
          </cell>
          <cell r="F647">
            <v>9.5</v>
          </cell>
          <cell r="G647">
            <v>25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Q GENERAL"/>
      <sheetName val="SOLICITUD MATERIALES"/>
      <sheetName val="REQ_GENERAL"/>
      <sheetName val="SOLICITUD_MATERIALES"/>
    </sheetNames>
    <sheetDataSet>
      <sheetData sheetId="0" refreshError="1">
        <row r="3">
          <cell r="A3" t="str">
            <v>ITEM</v>
          </cell>
          <cell r="B3" t="str">
            <v>CODIGO</v>
          </cell>
          <cell r="C3" t="str">
            <v>MATERIAL</v>
          </cell>
          <cell r="D3" t="str">
            <v>PESO (kg/m)</v>
          </cell>
          <cell r="E3" t="str">
            <v>PESOU/REAL</v>
          </cell>
          <cell r="F3" t="str">
            <v>PRECIO PERF</v>
          </cell>
          <cell r="G3" t="str">
            <v>PR/KG</v>
          </cell>
        </row>
        <row r="4">
          <cell r="A4">
            <v>1</v>
          </cell>
          <cell r="B4" t="str">
            <v>ACASA ANGULOS</v>
          </cell>
          <cell r="C4" t="str">
            <v>Angulos L 1 1/2" x 1 1/2"x1/8"</v>
          </cell>
          <cell r="D4">
            <v>1.8</v>
          </cell>
          <cell r="E4">
            <v>1.8</v>
          </cell>
          <cell r="G4">
            <v>0</v>
          </cell>
        </row>
        <row r="5">
          <cell r="A5">
            <v>2</v>
          </cell>
          <cell r="B5" t="str">
            <v>ACASA ANGULOS</v>
          </cell>
          <cell r="C5" t="str">
            <v>Angulos L 1 1/2" x 1 1/2"x3/16"</v>
          </cell>
          <cell r="D5">
            <v>2.7</v>
          </cell>
          <cell r="E5">
            <v>2.7</v>
          </cell>
          <cell r="G5">
            <v>0</v>
          </cell>
        </row>
        <row r="6">
          <cell r="A6">
            <v>3</v>
          </cell>
          <cell r="B6" t="str">
            <v>ACASA ANGULOS</v>
          </cell>
          <cell r="C6" t="str">
            <v>AngulosL 1 1/2" x 1 1/2"x1/4"</v>
          </cell>
          <cell r="D6">
            <v>3.4</v>
          </cell>
          <cell r="E6">
            <v>3.4</v>
          </cell>
          <cell r="G6">
            <v>0</v>
          </cell>
        </row>
        <row r="7">
          <cell r="A7">
            <v>4</v>
          </cell>
          <cell r="B7" t="str">
            <v>ACASA ANGULOS</v>
          </cell>
          <cell r="C7" t="str">
            <v xml:space="preserve">Angulos L 1 3/4" x 1 3/4x1/8" </v>
          </cell>
          <cell r="D7">
            <v>2.1</v>
          </cell>
          <cell r="E7">
            <v>2.1</v>
          </cell>
          <cell r="G7">
            <v>0</v>
          </cell>
        </row>
        <row r="8">
          <cell r="A8">
            <v>5</v>
          </cell>
          <cell r="B8" t="str">
            <v>ACASA ANGULOS</v>
          </cell>
          <cell r="C8" t="str">
            <v>Angulos L 1 3/4" x 1 3/4x 3/16"</v>
          </cell>
          <cell r="D8">
            <v>3.1</v>
          </cell>
          <cell r="E8">
            <v>3.1</v>
          </cell>
          <cell r="G8">
            <v>0</v>
          </cell>
        </row>
        <row r="9">
          <cell r="A9">
            <v>6</v>
          </cell>
          <cell r="B9" t="str">
            <v>ACASA ANGULOS</v>
          </cell>
          <cell r="C9" t="str">
            <v>Angulos L 1 3/4" x 1 3/4x 1/4"</v>
          </cell>
          <cell r="D9">
            <v>4.0999999999999996</v>
          </cell>
          <cell r="E9">
            <v>4.0999999999999996</v>
          </cell>
          <cell r="G9">
            <v>0</v>
          </cell>
        </row>
        <row r="10">
          <cell r="A10">
            <v>7</v>
          </cell>
          <cell r="B10" t="str">
            <v>ACASA ANGULOS</v>
          </cell>
          <cell r="C10" t="str">
            <v xml:space="preserve">Angulos L 2" x 2" x 1/8"  </v>
          </cell>
          <cell r="D10">
            <v>2.4</v>
          </cell>
          <cell r="E10">
            <v>2.4</v>
          </cell>
          <cell r="G10">
            <v>0</v>
          </cell>
        </row>
        <row r="11">
          <cell r="A11">
            <v>8</v>
          </cell>
          <cell r="B11" t="str">
            <v>ACASA ANGULOS</v>
          </cell>
          <cell r="C11" t="str">
            <v>Angulos L 2" x 2" x 3/16"</v>
          </cell>
          <cell r="D11">
            <v>3.6</v>
          </cell>
          <cell r="E11">
            <v>3.6</v>
          </cell>
          <cell r="G11">
            <v>0</v>
          </cell>
        </row>
        <row r="12">
          <cell r="A12">
            <v>9</v>
          </cell>
          <cell r="B12" t="str">
            <v>ACASA ANGULOS</v>
          </cell>
          <cell r="C12" t="str">
            <v>Angulos L 2" x 2" x 1/4"</v>
          </cell>
          <cell r="D12">
            <v>4.7</v>
          </cell>
          <cell r="E12">
            <v>4.7</v>
          </cell>
          <cell r="G12">
            <v>0</v>
          </cell>
        </row>
        <row r="13">
          <cell r="A13">
            <v>10</v>
          </cell>
          <cell r="B13" t="str">
            <v>ACASA ANGULOS</v>
          </cell>
          <cell r="C13" t="str">
            <v>Angulos L 2 1/2" x 2 1/2" x 3/16"</v>
          </cell>
          <cell r="D13">
            <v>4.5999999999999996</v>
          </cell>
          <cell r="E13">
            <v>4.5999999999999996</v>
          </cell>
          <cell r="G13">
            <v>0</v>
          </cell>
        </row>
        <row r="14">
          <cell r="A14">
            <v>11</v>
          </cell>
          <cell r="B14" t="str">
            <v>ACASA ANGULOS</v>
          </cell>
          <cell r="C14" t="str">
            <v>Angulos L 2 1/2" x 2 1/2" x 1/4"</v>
          </cell>
          <cell r="D14">
            <v>6.1</v>
          </cell>
          <cell r="E14">
            <v>6.1</v>
          </cell>
          <cell r="G14">
            <v>0</v>
          </cell>
        </row>
        <row r="15">
          <cell r="A15">
            <v>12</v>
          </cell>
          <cell r="B15" t="str">
            <v>ACASA ANGULOS</v>
          </cell>
          <cell r="C15" t="str">
            <v>Angulos L 3" x 3" x 1/4"</v>
          </cell>
          <cell r="D15">
            <v>7.3</v>
          </cell>
          <cell r="E15">
            <v>7.3</v>
          </cell>
          <cell r="G15">
            <v>0</v>
          </cell>
        </row>
        <row r="16">
          <cell r="A16">
            <v>13</v>
          </cell>
          <cell r="B16" t="str">
            <v>ACASA ANGULOS</v>
          </cell>
          <cell r="C16" t="str">
            <v>Angulos L 3" x 3" x 5/16"</v>
          </cell>
          <cell r="D16">
            <v>9.1</v>
          </cell>
          <cell r="E16">
            <v>9.1</v>
          </cell>
          <cell r="G16">
            <v>0</v>
          </cell>
        </row>
        <row r="17">
          <cell r="A17">
            <v>14</v>
          </cell>
          <cell r="B17" t="str">
            <v>ACASA ANGULOS</v>
          </cell>
          <cell r="C17" t="str">
            <v>Angulos L 3" x 3" x 3/8"</v>
          </cell>
          <cell r="D17">
            <v>10.7</v>
          </cell>
          <cell r="E17">
            <v>10.7</v>
          </cell>
          <cell r="G17">
            <v>0</v>
          </cell>
        </row>
        <row r="18">
          <cell r="A18">
            <v>15</v>
          </cell>
          <cell r="B18" t="str">
            <v>ACASA ANGULOS</v>
          </cell>
          <cell r="C18" t="str">
            <v>Angulos L 4" x 4" x 1/4"</v>
          </cell>
          <cell r="D18">
            <v>9.8000000000000007</v>
          </cell>
          <cell r="E18">
            <v>9.8000000000000007</v>
          </cell>
          <cell r="G18">
            <v>0</v>
          </cell>
        </row>
        <row r="19">
          <cell r="A19">
            <v>16</v>
          </cell>
          <cell r="B19" t="str">
            <v>ACASA ANGULOS</v>
          </cell>
          <cell r="C19" t="str">
            <v>Angulos L 4" x 4" x 5/16"</v>
          </cell>
          <cell r="D19">
            <v>12.2</v>
          </cell>
          <cell r="E19">
            <v>12.2</v>
          </cell>
          <cell r="G19">
            <v>0</v>
          </cell>
        </row>
        <row r="20">
          <cell r="A20">
            <v>17</v>
          </cell>
          <cell r="B20" t="str">
            <v>ACASA ANGULOS</v>
          </cell>
          <cell r="C20" t="str">
            <v>Angulos L 4" x 4" x 3/8"</v>
          </cell>
          <cell r="D20">
            <v>14.6</v>
          </cell>
          <cell r="E20">
            <v>14.6</v>
          </cell>
          <cell r="G20">
            <v>0</v>
          </cell>
        </row>
        <row r="21">
          <cell r="A21">
            <v>18</v>
          </cell>
          <cell r="B21" t="str">
            <v>ACASA ANGULOS</v>
          </cell>
          <cell r="C21" t="str">
            <v>Angulos L 4" x 4" x 1/2"</v>
          </cell>
          <cell r="D21">
            <v>19</v>
          </cell>
          <cell r="E21">
            <v>19</v>
          </cell>
          <cell r="G21">
            <v>0</v>
          </cell>
        </row>
        <row r="22">
          <cell r="A22">
            <v>19</v>
          </cell>
          <cell r="B22" t="str">
            <v>ACEROPAXI ANGULOS</v>
          </cell>
          <cell r="C22" t="str">
            <v>Angulos L 20 x 20 x 2</v>
          </cell>
          <cell r="D22">
            <v>0.6</v>
          </cell>
          <cell r="E22">
            <v>0.6</v>
          </cell>
          <cell r="G22">
            <v>0</v>
          </cell>
        </row>
        <row r="23">
          <cell r="A23">
            <v>20</v>
          </cell>
          <cell r="B23" t="str">
            <v>ACEROPAXI ANGULOS</v>
          </cell>
          <cell r="C23" t="str">
            <v>Angulos L 20 x 20 x 3</v>
          </cell>
          <cell r="D23">
            <v>0.87</v>
          </cell>
          <cell r="E23">
            <v>0.87</v>
          </cell>
          <cell r="G23">
            <v>0</v>
          </cell>
        </row>
        <row r="24">
          <cell r="A24">
            <v>21</v>
          </cell>
          <cell r="B24" t="str">
            <v>ACEROPAXI ANGULOS</v>
          </cell>
          <cell r="C24" t="str">
            <v>Angulos L 25 x 25 x 2</v>
          </cell>
          <cell r="D24">
            <v>0.75</v>
          </cell>
          <cell r="E24">
            <v>0.75</v>
          </cell>
          <cell r="G24">
            <v>0</v>
          </cell>
        </row>
        <row r="25">
          <cell r="A25">
            <v>22</v>
          </cell>
          <cell r="B25" t="str">
            <v>ACEROPAXI ANGULOS</v>
          </cell>
          <cell r="C25" t="str">
            <v>Angulos L 25 x 25 x 3</v>
          </cell>
          <cell r="D25">
            <v>1.1100000000000001</v>
          </cell>
          <cell r="E25">
            <v>1.1100000000000001</v>
          </cell>
          <cell r="G25">
            <v>0</v>
          </cell>
        </row>
        <row r="26">
          <cell r="A26">
            <v>23</v>
          </cell>
          <cell r="B26" t="str">
            <v>ACEROPAXI ANGULOS</v>
          </cell>
          <cell r="C26" t="str">
            <v>Angulos L 25 x 25 x 4</v>
          </cell>
          <cell r="D26">
            <v>1.45</v>
          </cell>
          <cell r="E26">
            <v>1.45</v>
          </cell>
          <cell r="G26">
            <v>0</v>
          </cell>
        </row>
        <row r="27">
          <cell r="A27">
            <v>24</v>
          </cell>
          <cell r="B27" t="str">
            <v>ACEROPAXI ANGULOS</v>
          </cell>
          <cell r="C27" t="str">
            <v>Angulos L 30 x 30 x 3</v>
          </cell>
          <cell r="D27">
            <v>1.34</v>
          </cell>
          <cell r="E27">
            <v>1.34</v>
          </cell>
          <cell r="G27">
            <v>0</v>
          </cell>
        </row>
        <row r="28">
          <cell r="A28">
            <v>25</v>
          </cell>
          <cell r="B28" t="str">
            <v>ACEROPAXI ANGULOS</v>
          </cell>
          <cell r="C28" t="str">
            <v>Angulos L 30 x 30 x 4</v>
          </cell>
          <cell r="D28">
            <v>1.76</v>
          </cell>
          <cell r="E28">
            <v>1.76</v>
          </cell>
          <cell r="G28">
            <v>0</v>
          </cell>
        </row>
        <row r="29">
          <cell r="A29">
            <v>26</v>
          </cell>
          <cell r="B29" t="str">
            <v>ACEROPAXI ANGULOS</v>
          </cell>
          <cell r="C29" t="str">
            <v>Angulos L 40 x 40 x 3</v>
          </cell>
          <cell r="D29">
            <v>1.81</v>
          </cell>
          <cell r="E29">
            <v>1.81</v>
          </cell>
          <cell r="G29">
            <v>0</v>
          </cell>
        </row>
        <row r="30">
          <cell r="A30">
            <v>27</v>
          </cell>
          <cell r="B30" t="str">
            <v>ACEROPAXI ANGULOS</v>
          </cell>
          <cell r="C30" t="str">
            <v>Angulos L 40 x 40 x 4</v>
          </cell>
          <cell r="D30">
            <v>2.39</v>
          </cell>
          <cell r="E30">
            <v>2.39</v>
          </cell>
          <cell r="G30">
            <v>0</v>
          </cell>
        </row>
        <row r="31">
          <cell r="A31">
            <v>28</v>
          </cell>
          <cell r="B31" t="str">
            <v>ACEROPAXI ANGULOS</v>
          </cell>
          <cell r="C31" t="str">
            <v>Angulos L 40 x 40 x 6</v>
          </cell>
          <cell r="D31">
            <v>3.49</v>
          </cell>
          <cell r="E31">
            <v>3.49</v>
          </cell>
          <cell r="G31">
            <v>0</v>
          </cell>
        </row>
        <row r="32">
          <cell r="A32">
            <v>29</v>
          </cell>
          <cell r="B32" t="str">
            <v>ACEROPAXI ANGULOS</v>
          </cell>
          <cell r="C32" t="str">
            <v>Angulos L 50 x 50 x 3</v>
          </cell>
          <cell r="D32">
            <v>2.29</v>
          </cell>
          <cell r="E32">
            <v>2.29</v>
          </cell>
          <cell r="G32">
            <v>0</v>
          </cell>
        </row>
        <row r="33">
          <cell r="A33">
            <v>30</v>
          </cell>
          <cell r="B33" t="str">
            <v>ACEROPAXI ANGULOS</v>
          </cell>
          <cell r="C33" t="str">
            <v>Angulos L 50 x 50 x 4</v>
          </cell>
          <cell r="D33">
            <v>3.02</v>
          </cell>
          <cell r="E33">
            <v>3.02</v>
          </cell>
          <cell r="G33">
            <v>0</v>
          </cell>
        </row>
        <row r="34">
          <cell r="A34">
            <v>31</v>
          </cell>
          <cell r="B34" t="str">
            <v>ACEROPAXI ANGULOS</v>
          </cell>
          <cell r="C34" t="str">
            <v>Angulos L 50 x 50 x 6</v>
          </cell>
          <cell r="D34">
            <v>4.43</v>
          </cell>
          <cell r="E34">
            <v>4.43</v>
          </cell>
          <cell r="G34">
            <v>0</v>
          </cell>
        </row>
        <row r="35">
          <cell r="A35">
            <v>32</v>
          </cell>
          <cell r="B35" t="str">
            <v>ACEROPAXI ANGULOS</v>
          </cell>
          <cell r="C35" t="str">
            <v>Angulos L 60 x 60 x 6</v>
          </cell>
          <cell r="D35">
            <v>5.37</v>
          </cell>
          <cell r="E35">
            <v>5.37</v>
          </cell>
          <cell r="G35">
            <v>0</v>
          </cell>
        </row>
        <row r="36">
          <cell r="A36">
            <v>33</v>
          </cell>
          <cell r="B36" t="str">
            <v>ACEROPAXI ANGULOS</v>
          </cell>
          <cell r="C36" t="str">
            <v>Angulos L 60 x 60 x 8</v>
          </cell>
          <cell r="D36">
            <v>7.09</v>
          </cell>
          <cell r="E36">
            <v>7.09</v>
          </cell>
          <cell r="G36">
            <v>0</v>
          </cell>
        </row>
        <row r="37">
          <cell r="A37">
            <v>34</v>
          </cell>
          <cell r="B37" t="str">
            <v>ACEROPAXI ANGULOS</v>
          </cell>
          <cell r="C37" t="str">
            <v>Angulos L 65 x 65 x 6</v>
          </cell>
          <cell r="D37">
            <v>5.84</v>
          </cell>
          <cell r="E37">
            <v>5.84</v>
          </cell>
          <cell r="G37">
            <v>0</v>
          </cell>
        </row>
        <row r="38">
          <cell r="A38">
            <v>35</v>
          </cell>
          <cell r="B38" t="str">
            <v>ACEROPAXI ANGULOS</v>
          </cell>
          <cell r="C38" t="str">
            <v>Angulos L 70 x 70 x 6</v>
          </cell>
          <cell r="D38">
            <v>6.32</v>
          </cell>
          <cell r="E38">
            <v>6.32</v>
          </cell>
          <cell r="G38">
            <v>0</v>
          </cell>
        </row>
        <row r="39">
          <cell r="A39">
            <v>36</v>
          </cell>
          <cell r="B39" t="str">
            <v>ACEROPAXI ANGULOS</v>
          </cell>
          <cell r="C39" t="str">
            <v>Angulos L 75 x 75 x 6</v>
          </cell>
          <cell r="D39">
            <v>6.78</v>
          </cell>
          <cell r="E39">
            <v>6.78</v>
          </cell>
          <cell r="G39">
            <v>0</v>
          </cell>
        </row>
        <row r="40">
          <cell r="A40">
            <v>37</v>
          </cell>
          <cell r="B40" t="str">
            <v>ACEROPAXI ANGULOS</v>
          </cell>
          <cell r="C40" t="str">
            <v>Angulos L 75 x 75 x 8</v>
          </cell>
          <cell r="D40">
            <v>8.92</v>
          </cell>
          <cell r="E40">
            <v>8.92</v>
          </cell>
          <cell r="G40">
            <v>0</v>
          </cell>
        </row>
        <row r="41">
          <cell r="A41">
            <v>38</v>
          </cell>
          <cell r="B41" t="str">
            <v>ACEROPAXI ANGULOS</v>
          </cell>
          <cell r="C41" t="str">
            <v>Anguos L 100 x 100 x 6</v>
          </cell>
          <cell r="D41">
            <v>9.14</v>
          </cell>
          <cell r="E41">
            <v>9.14</v>
          </cell>
          <cell r="G41">
            <v>0</v>
          </cell>
        </row>
        <row r="42">
          <cell r="A42">
            <v>39</v>
          </cell>
          <cell r="B42" t="str">
            <v>ACEROPAXI ANGULOS</v>
          </cell>
          <cell r="C42" t="str">
            <v>Angulos L 100 x 100 x 8</v>
          </cell>
          <cell r="D42">
            <v>12.06</v>
          </cell>
          <cell r="E42">
            <v>12.06</v>
          </cell>
          <cell r="G42">
            <v>0</v>
          </cell>
        </row>
        <row r="43">
          <cell r="A43">
            <v>40</v>
          </cell>
          <cell r="B43" t="str">
            <v>ACEROPAXI ANGULOS</v>
          </cell>
          <cell r="C43" t="str">
            <v>Angulos L 100 x 100 x 10</v>
          </cell>
          <cell r="D43">
            <v>15.04</v>
          </cell>
          <cell r="E43">
            <v>15.04</v>
          </cell>
          <cell r="G43">
            <v>0</v>
          </cell>
        </row>
        <row r="44">
          <cell r="A44">
            <v>41</v>
          </cell>
          <cell r="B44" t="str">
            <v>ACEROPAXI ANGULOS</v>
          </cell>
          <cell r="C44" t="str">
            <v>Angulos L 100 x 100 x 12</v>
          </cell>
          <cell r="D44">
            <v>17.71</v>
          </cell>
          <cell r="E44">
            <v>17.71</v>
          </cell>
          <cell r="G44">
            <v>0</v>
          </cell>
        </row>
        <row r="45">
          <cell r="A45">
            <v>42</v>
          </cell>
          <cell r="B45" t="str">
            <v>ACEROPAXI PLATINAS</v>
          </cell>
          <cell r="C45" t="str">
            <v>Platinas Pt12x 3</v>
          </cell>
          <cell r="D45">
            <v>0.28000000000000003</v>
          </cell>
          <cell r="E45">
            <v>0.28000000000000003</v>
          </cell>
          <cell r="G45">
            <v>0</v>
          </cell>
        </row>
        <row r="46">
          <cell r="A46">
            <v>43</v>
          </cell>
          <cell r="B46" t="str">
            <v>ACEROPAXI PLATINAS</v>
          </cell>
          <cell r="C46" t="str">
            <v>Platinas Pt12x 4</v>
          </cell>
          <cell r="D46">
            <v>0.38</v>
          </cell>
          <cell r="E46">
            <v>0.38</v>
          </cell>
          <cell r="G46">
            <v>0</v>
          </cell>
        </row>
        <row r="47">
          <cell r="A47">
            <v>44</v>
          </cell>
          <cell r="B47" t="str">
            <v>ACEROPAXI PLATINAS</v>
          </cell>
          <cell r="C47" t="str">
            <v>Platinas Pt12x 6</v>
          </cell>
          <cell r="D47">
            <v>0.56999999999999995</v>
          </cell>
          <cell r="E47">
            <v>0.56999999999999995</v>
          </cell>
          <cell r="G47">
            <v>0</v>
          </cell>
        </row>
        <row r="48">
          <cell r="A48">
            <v>45</v>
          </cell>
          <cell r="B48" t="str">
            <v>ACEROPAXI PLATINAS</v>
          </cell>
          <cell r="C48" t="str">
            <v>Platinas Pt19x 3</v>
          </cell>
          <cell r="D48">
            <v>0.45</v>
          </cell>
          <cell r="E48">
            <v>0.45</v>
          </cell>
          <cell r="G48">
            <v>0</v>
          </cell>
        </row>
        <row r="49">
          <cell r="A49">
            <v>46</v>
          </cell>
          <cell r="B49" t="str">
            <v>ACEROPAXI PLATINAS</v>
          </cell>
          <cell r="C49" t="str">
            <v>Platinas Pt19x 4</v>
          </cell>
          <cell r="D49">
            <v>0.6</v>
          </cell>
          <cell r="E49">
            <v>0.6</v>
          </cell>
          <cell r="G49">
            <v>0</v>
          </cell>
        </row>
        <row r="50">
          <cell r="A50">
            <v>47</v>
          </cell>
          <cell r="B50" t="str">
            <v>ACEROPAXI PLATINAS</v>
          </cell>
          <cell r="C50" t="str">
            <v>Platinas Pt19x 6</v>
          </cell>
          <cell r="D50">
            <v>0.89</v>
          </cell>
          <cell r="E50">
            <v>0.89</v>
          </cell>
          <cell r="G50">
            <v>0</v>
          </cell>
        </row>
        <row r="51">
          <cell r="A51">
            <v>48</v>
          </cell>
          <cell r="B51" t="str">
            <v>ACEROPAXI PLATINAS</v>
          </cell>
          <cell r="C51" t="str">
            <v>Platinas Pt25x 3</v>
          </cell>
          <cell r="D51">
            <v>0.59</v>
          </cell>
          <cell r="E51">
            <v>0.59</v>
          </cell>
          <cell r="G51">
            <v>0</v>
          </cell>
        </row>
        <row r="52">
          <cell r="A52">
            <v>49</v>
          </cell>
          <cell r="B52" t="str">
            <v>ACEROPAXI PLATINAS</v>
          </cell>
          <cell r="C52" t="str">
            <v>Platinas Pt25x 4</v>
          </cell>
          <cell r="D52">
            <v>0.79</v>
          </cell>
          <cell r="E52">
            <v>0.79</v>
          </cell>
          <cell r="G52">
            <v>0</v>
          </cell>
        </row>
        <row r="53">
          <cell r="A53">
            <v>50</v>
          </cell>
          <cell r="B53" t="str">
            <v>ACEROPAXI PLATINAS</v>
          </cell>
          <cell r="C53" t="str">
            <v>Platinas Pt25x 6</v>
          </cell>
          <cell r="D53">
            <v>1.18</v>
          </cell>
          <cell r="E53">
            <v>1.18</v>
          </cell>
          <cell r="G53">
            <v>0</v>
          </cell>
        </row>
        <row r="54">
          <cell r="A54">
            <v>51</v>
          </cell>
          <cell r="B54" t="str">
            <v>ACEROPAXI PLATINAS</v>
          </cell>
          <cell r="C54" t="str">
            <v>Platinas Pt30x 3</v>
          </cell>
          <cell r="D54">
            <v>0.71</v>
          </cell>
          <cell r="E54">
            <v>0.71</v>
          </cell>
          <cell r="G54">
            <v>0</v>
          </cell>
        </row>
        <row r="55">
          <cell r="A55">
            <v>52</v>
          </cell>
          <cell r="B55" t="str">
            <v>ACEROPAXI PLATINAS</v>
          </cell>
          <cell r="C55" t="str">
            <v>Platinas Pt30x 4</v>
          </cell>
          <cell r="D55">
            <v>0.94</v>
          </cell>
          <cell r="E55">
            <v>0.94</v>
          </cell>
          <cell r="G55">
            <v>0</v>
          </cell>
        </row>
        <row r="56">
          <cell r="A56">
            <v>53</v>
          </cell>
          <cell r="B56" t="str">
            <v>ACEROPAXI PLATINAS</v>
          </cell>
          <cell r="C56" t="str">
            <v>Platinas Pt30x 6</v>
          </cell>
          <cell r="D56">
            <v>1.41</v>
          </cell>
          <cell r="E56">
            <v>1.41</v>
          </cell>
          <cell r="G56">
            <v>0</v>
          </cell>
        </row>
        <row r="57">
          <cell r="A57">
            <v>54</v>
          </cell>
          <cell r="B57" t="str">
            <v>ACEROPAXI PLATINAS</v>
          </cell>
          <cell r="C57" t="str">
            <v>Platinas Pt30x 9</v>
          </cell>
          <cell r="D57">
            <v>2.12</v>
          </cell>
          <cell r="E57">
            <v>2.12</v>
          </cell>
          <cell r="G57">
            <v>0</v>
          </cell>
        </row>
        <row r="58">
          <cell r="A58">
            <v>55</v>
          </cell>
          <cell r="B58" t="str">
            <v>ACEROPAXI PLATINAS</v>
          </cell>
          <cell r="C58" t="str">
            <v>Platinas Pt30x 12</v>
          </cell>
          <cell r="D58">
            <v>2.83</v>
          </cell>
          <cell r="E58">
            <v>2.83</v>
          </cell>
          <cell r="G58">
            <v>0</v>
          </cell>
        </row>
        <row r="59">
          <cell r="A59">
            <v>56</v>
          </cell>
          <cell r="B59" t="str">
            <v>ACEROPAXI PLATINAS</v>
          </cell>
          <cell r="C59" t="str">
            <v>Platinas Pt38x 3</v>
          </cell>
          <cell r="D59">
            <v>0.89</v>
          </cell>
          <cell r="E59">
            <v>0.89</v>
          </cell>
          <cell r="G59">
            <v>0</v>
          </cell>
        </row>
        <row r="60">
          <cell r="A60">
            <v>57</v>
          </cell>
          <cell r="B60" t="str">
            <v>ACEROPAXI PLATINAS</v>
          </cell>
          <cell r="C60" t="str">
            <v>Platinas Pt38x 4</v>
          </cell>
          <cell r="D60">
            <v>1.19</v>
          </cell>
          <cell r="E60">
            <v>1.19</v>
          </cell>
          <cell r="G60">
            <v>0</v>
          </cell>
        </row>
        <row r="61">
          <cell r="A61">
            <v>58</v>
          </cell>
          <cell r="B61" t="str">
            <v>ACEROPAXI PLATINAS</v>
          </cell>
          <cell r="C61" t="str">
            <v>Platinas Pt38x 6</v>
          </cell>
          <cell r="D61">
            <v>1.79</v>
          </cell>
          <cell r="E61">
            <v>1.79</v>
          </cell>
          <cell r="G61">
            <v>0</v>
          </cell>
        </row>
        <row r="62">
          <cell r="A62">
            <v>59</v>
          </cell>
          <cell r="B62" t="str">
            <v>ACEROPAXI PLATINAS</v>
          </cell>
          <cell r="C62" t="str">
            <v>Platinas Pt38x 9</v>
          </cell>
          <cell r="D62">
            <v>2.69</v>
          </cell>
          <cell r="E62">
            <v>2.69</v>
          </cell>
          <cell r="G62">
            <v>0</v>
          </cell>
        </row>
        <row r="63">
          <cell r="A63">
            <v>60</v>
          </cell>
          <cell r="B63" t="str">
            <v>ACEROPAXI PLATINAS</v>
          </cell>
          <cell r="C63" t="str">
            <v>Platinas Pt38x 12</v>
          </cell>
          <cell r="D63">
            <v>3.58</v>
          </cell>
          <cell r="E63">
            <v>3.58</v>
          </cell>
          <cell r="G63">
            <v>0</v>
          </cell>
        </row>
        <row r="64">
          <cell r="A64">
            <v>61</v>
          </cell>
          <cell r="B64" t="str">
            <v>ACEROPAXI PLATINAS</v>
          </cell>
          <cell r="C64" t="str">
            <v>Platinas Pt50x 3</v>
          </cell>
          <cell r="D64">
            <v>1.18</v>
          </cell>
          <cell r="E64">
            <v>1.18</v>
          </cell>
          <cell r="G64">
            <v>0</v>
          </cell>
        </row>
        <row r="65">
          <cell r="A65">
            <v>62</v>
          </cell>
          <cell r="B65" t="str">
            <v>ACEROPAXI PLATINAS</v>
          </cell>
          <cell r="C65" t="str">
            <v>Platinas Pt50x 4</v>
          </cell>
          <cell r="D65">
            <v>1.58</v>
          </cell>
          <cell r="E65">
            <v>1.58</v>
          </cell>
          <cell r="G65">
            <v>0</v>
          </cell>
        </row>
        <row r="66">
          <cell r="A66">
            <v>63</v>
          </cell>
          <cell r="B66" t="str">
            <v>ACEROPAXI PLATINAS</v>
          </cell>
          <cell r="C66" t="str">
            <v>Platinas Pt50x 6</v>
          </cell>
          <cell r="D66">
            <v>2.2599999999999998</v>
          </cell>
          <cell r="E66">
            <v>2.2599999999999998</v>
          </cell>
          <cell r="G66">
            <v>0</v>
          </cell>
        </row>
        <row r="67">
          <cell r="A67">
            <v>64</v>
          </cell>
          <cell r="B67" t="str">
            <v>ACEROPAXI PLATINAS</v>
          </cell>
          <cell r="C67" t="str">
            <v>Platinas Pt50x 9</v>
          </cell>
          <cell r="D67">
            <v>3.53</v>
          </cell>
          <cell r="E67">
            <v>3.53</v>
          </cell>
          <cell r="G67">
            <v>0</v>
          </cell>
        </row>
        <row r="68">
          <cell r="A68">
            <v>65</v>
          </cell>
          <cell r="B68" t="str">
            <v>ACEROPAXI PLATINAS</v>
          </cell>
          <cell r="C68" t="str">
            <v>Platinas Pt50x 12</v>
          </cell>
          <cell r="D68">
            <v>4.71</v>
          </cell>
          <cell r="E68">
            <v>4.71</v>
          </cell>
          <cell r="G68">
            <v>0</v>
          </cell>
        </row>
        <row r="69">
          <cell r="A69">
            <v>66</v>
          </cell>
          <cell r="B69" t="str">
            <v>ACEROPAXI PLATINAS</v>
          </cell>
          <cell r="C69" t="str">
            <v>Platinas Pt65x 6</v>
          </cell>
          <cell r="D69">
            <v>3.06</v>
          </cell>
          <cell r="E69">
            <v>3.06</v>
          </cell>
          <cell r="G69">
            <v>0</v>
          </cell>
        </row>
        <row r="70">
          <cell r="A70">
            <v>67</v>
          </cell>
          <cell r="B70" t="str">
            <v>ACEROPAXI PLATINAS</v>
          </cell>
          <cell r="C70" t="str">
            <v>Platinas Pt65x 9</v>
          </cell>
          <cell r="D70">
            <v>4.59</v>
          </cell>
          <cell r="E70">
            <v>4.59</v>
          </cell>
          <cell r="G70">
            <v>0</v>
          </cell>
        </row>
        <row r="71">
          <cell r="A71">
            <v>68</v>
          </cell>
          <cell r="B71" t="str">
            <v>ACEROPAXI PLATINAS</v>
          </cell>
          <cell r="C71" t="str">
            <v>Platinas Pt65x 12</v>
          </cell>
          <cell r="D71">
            <v>6.12</v>
          </cell>
          <cell r="E71">
            <v>6.12</v>
          </cell>
          <cell r="G71">
            <v>0</v>
          </cell>
        </row>
        <row r="72">
          <cell r="A72">
            <v>69</v>
          </cell>
          <cell r="B72" t="str">
            <v>ACEROPAXI PLATINAS</v>
          </cell>
          <cell r="C72" t="str">
            <v>Platinas Pt75x 6</v>
          </cell>
          <cell r="D72">
            <v>3.53</v>
          </cell>
          <cell r="E72">
            <v>3.53</v>
          </cell>
          <cell r="G72">
            <v>0</v>
          </cell>
        </row>
        <row r="73">
          <cell r="A73">
            <v>70</v>
          </cell>
          <cell r="B73" t="str">
            <v>ACEROPAXI PLATINAS</v>
          </cell>
          <cell r="C73" t="str">
            <v>Platinas Pt75x 9</v>
          </cell>
          <cell r="D73">
            <v>5.3</v>
          </cell>
          <cell r="E73">
            <v>5.3</v>
          </cell>
          <cell r="G73">
            <v>0</v>
          </cell>
        </row>
        <row r="74">
          <cell r="A74">
            <v>71</v>
          </cell>
          <cell r="B74" t="str">
            <v>ACEROPAXI PLATINAS</v>
          </cell>
          <cell r="C74" t="str">
            <v>Platinas Pt75x 12</v>
          </cell>
          <cell r="D74">
            <v>7.07</v>
          </cell>
          <cell r="E74">
            <v>7.07</v>
          </cell>
          <cell r="G74">
            <v>0</v>
          </cell>
        </row>
        <row r="75">
          <cell r="A75">
            <v>72</v>
          </cell>
          <cell r="B75" t="str">
            <v>ACEROPAXI PLATINAS</v>
          </cell>
          <cell r="C75" t="str">
            <v>Platinas Pt 100x 6</v>
          </cell>
          <cell r="D75">
            <v>4.71</v>
          </cell>
          <cell r="E75">
            <v>4.71</v>
          </cell>
          <cell r="G75">
            <v>0</v>
          </cell>
        </row>
        <row r="76">
          <cell r="A76">
            <v>73</v>
          </cell>
          <cell r="B76" t="str">
            <v>ACEROPAXI PLATINAS</v>
          </cell>
          <cell r="C76" t="str">
            <v>Platinas Pt100x 9</v>
          </cell>
          <cell r="D76">
            <v>7.07</v>
          </cell>
          <cell r="E76">
            <v>7.07</v>
          </cell>
          <cell r="G76">
            <v>0</v>
          </cell>
        </row>
        <row r="77">
          <cell r="A77">
            <v>74</v>
          </cell>
          <cell r="B77" t="str">
            <v>ACEROPAXI PLATINAS</v>
          </cell>
          <cell r="C77" t="str">
            <v>Platinas Pt100x 12</v>
          </cell>
          <cell r="D77">
            <v>9.42</v>
          </cell>
          <cell r="E77">
            <v>9.42</v>
          </cell>
          <cell r="G77">
            <v>0</v>
          </cell>
        </row>
        <row r="78">
          <cell r="A78">
            <v>75</v>
          </cell>
          <cell r="B78" t="str">
            <v>ACEROPAXI TEE</v>
          </cell>
          <cell r="C78" t="str">
            <v>Tee 20 x 20 x 3</v>
          </cell>
          <cell r="D78">
            <v>0.9</v>
          </cell>
          <cell r="E78">
            <v>0.9</v>
          </cell>
          <cell r="G78">
            <v>0</v>
          </cell>
        </row>
        <row r="79">
          <cell r="A79">
            <v>76</v>
          </cell>
          <cell r="B79" t="str">
            <v>ACEROPAXI TEE</v>
          </cell>
          <cell r="C79" t="str">
            <v>Tee 25 x 25 x 3</v>
          </cell>
          <cell r="D79">
            <v>1.19</v>
          </cell>
          <cell r="E79">
            <v>1.19</v>
          </cell>
          <cell r="G79">
            <v>0</v>
          </cell>
        </row>
        <row r="80">
          <cell r="A80">
            <v>77</v>
          </cell>
          <cell r="B80" t="str">
            <v>ACEROPAXI TEE</v>
          </cell>
          <cell r="C80" t="str">
            <v>Tee 30 x 30 x 3</v>
          </cell>
          <cell r="D80">
            <v>1.41</v>
          </cell>
          <cell r="E80">
            <v>1.41</v>
          </cell>
          <cell r="G80">
            <v>0</v>
          </cell>
        </row>
        <row r="81">
          <cell r="A81">
            <v>78</v>
          </cell>
          <cell r="B81" t="str">
            <v>ACEROPAXI TUBERIA ASTM A 53</v>
          </cell>
          <cell r="C81" t="str">
            <v>Tubo ASTM A 53 1 1/2" CED 40</v>
          </cell>
          <cell r="D81">
            <v>4.05</v>
          </cell>
          <cell r="E81">
            <v>4.05</v>
          </cell>
          <cell r="G81">
            <v>0</v>
          </cell>
        </row>
        <row r="82">
          <cell r="A82">
            <v>79</v>
          </cell>
          <cell r="B82" t="str">
            <v>ACEROPAXI TUBERIA ASTM A 53</v>
          </cell>
          <cell r="C82" t="str">
            <v>Tubo ASTM A 53 1 1/2" CED 80</v>
          </cell>
          <cell r="D82">
            <v>5.41</v>
          </cell>
          <cell r="E82">
            <v>5.41</v>
          </cell>
          <cell r="G82">
            <v>0</v>
          </cell>
        </row>
        <row r="83">
          <cell r="A83">
            <v>80</v>
          </cell>
          <cell r="B83" t="str">
            <v>ACEROPAXI TUBERIA ASTM A 53</v>
          </cell>
          <cell r="C83" t="str">
            <v>Tubo ASTM A 53 2" CED 40</v>
          </cell>
          <cell r="D83">
            <v>5.44</v>
          </cell>
          <cell r="E83">
            <v>5.44</v>
          </cell>
          <cell r="G83">
            <v>0</v>
          </cell>
        </row>
        <row r="84">
          <cell r="A84">
            <v>81</v>
          </cell>
          <cell r="B84" t="str">
            <v>ACEROPAXI TUBERIA ASTM A 53</v>
          </cell>
          <cell r="C84" t="str">
            <v>Tubo ASTM A 53 2" CED 80</v>
          </cell>
          <cell r="D84">
            <v>7.48</v>
          </cell>
          <cell r="E84">
            <v>7.48</v>
          </cell>
          <cell r="G84">
            <v>0</v>
          </cell>
        </row>
        <row r="85">
          <cell r="A85">
            <v>82</v>
          </cell>
          <cell r="B85" t="str">
            <v>ACEROPAXI TUBERIA ASTM A 53</v>
          </cell>
          <cell r="C85" t="str">
            <v>Tubo ASTM A 53 2 1/2" CED 40</v>
          </cell>
          <cell r="D85">
            <v>8.6300000000000008</v>
          </cell>
          <cell r="E85">
            <v>8.6300000000000008</v>
          </cell>
          <cell r="G85">
            <v>0</v>
          </cell>
        </row>
        <row r="86">
          <cell r="A86">
            <v>83</v>
          </cell>
          <cell r="B86" t="str">
            <v>ACEROPAXI TUBERIA ESTRUCTURAL CUADRADO</v>
          </cell>
          <cell r="C86" t="str">
            <v>Tubo Cuadrado 20x 1,50</v>
          </cell>
          <cell r="D86">
            <v>0.88</v>
          </cell>
          <cell r="E86">
            <v>0.88</v>
          </cell>
          <cell r="G86">
            <v>0</v>
          </cell>
        </row>
        <row r="87">
          <cell r="A87">
            <v>84</v>
          </cell>
          <cell r="B87" t="str">
            <v>ACEROPAXI TUBERIA ESTRUCTURAL CUADRADO</v>
          </cell>
          <cell r="C87" t="str">
            <v>Tubo Cuadrado 25x 1,50</v>
          </cell>
          <cell r="D87">
            <v>1.18</v>
          </cell>
          <cell r="E87">
            <v>1.18</v>
          </cell>
          <cell r="G87">
            <v>0</v>
          </cell>
        </row>
        <row r="88">
          <cell r="A88">
            <v>85</v>
          </cell>
          <cell r="B88" t="str">
            <v>ACEROPAXI TUBERIA ESTRUCTURAL CUADRADO</v>
          </cell>
          <cell r="C88" t="str">
            <v>Tubo Cuadrado 25x 2,0</v>
          </cell>
          <cell r="D88">
            <v>1.55</v>
          </cell>
          <cell r="E88">
            <v>1.55</v>
          </cell>
          <cell r="G88">
            <v>0</v>
          </cell>
        </row>
        <row r="89">
          <cell r="A89">
            <v>86</v>
          </cell>
          <cell r="B89" t="str">
            <v>ACEROPAXI TUBERIA ESTRUCTURAL CUADRADO</v>
          </cell>
          <cell r="C89" t="str">
            <v>Tubo Cuadrado 30x 1,50</v>
          </cell>
          <cell r="D89">
            <v>1.35</v>
          </cell>
          <cell r="E89">
            <v>1.35</v>
          </cell>
          <cell r="G89">
            <v>0</v>
          </cell>
        </row>
        <row r="90">
          <cell r="A90">
            <v>87</v>
          </cell>
          <cell r="B90" t="str">
            <v>ACEROPAXI TUBERIA ESTRUCTURAL CUADRADO</v>
          </cell>
          <cell r="C90" t="str">
            <v>Tubo Cuadrado 30x 2,0</v>
          </cell>
          <cell r="D90">
            <v>1.77</v>
          </cell>
          <cell r="E90">
            <v>1.77</v>
          </cell>
          <cell r="G90">
            <v>0</v>
          </cell>
        </row>
        <row r="91">
          <cell r="A91">
            <v>88</v>
          </cell>
          <cell r="B91" t="str">
            <v>ACEROPAXI TUBERIA ESTRUCTURAL CUADRADO</v>
          </cell>
          <cell r="C91" t="str">
            <v>Tubo Cuadrado 40x 1,50</v>
          </cell>
          <cell r="D91">
            <v>1.76</v>
          </cell>
          <cell r="E91">
            <v>1.76</v>
          </cell>
          <cell r="G91">
            <v>0</v>
          </cell>
        </row>
        <row r="92">
          <cell r="A92">
            <v>89</v>
          </cell>
          <cell r="B92" t="str">
            <v>ACEROPAXI TUBERIA ESTRUCTURAL CUADRADO</v>
          </cell>
          <cell r="C92" t="str">
            <v>Tubo Cuadrado 40x 2,0</v>
          </cell>
          <cell r="D92">
            <v>2.3199999999999998</v>
          </cell>
          <cell r="E92">
            <v>2.3199999999999998</v>
          </cell>
          <cell r="G92">
            <v>0</v>
          </cell>
        </row>
        <row r="93">
          <cell r="A93">
            <v>90</v>
          </cell>
          <cell r="B93" t="str">
            <v>ACEROPAXI TUBERIA ESTRUCTURAL CUADRADO</v>
          </cell>
          <cell r="C93" t="str">
            <v>Tubo Cuadrado 40x 3,0</v>
          </cell>
          <cell r="D93">
            <v>3.42</v>
          </cell>
          <cell r="E93">
            <v>3.42</v>
          </cell>
          <cell r="G93">
            <v>0</v>
          </cell>
        </row>
        <row r="94">
          <cell r="A94">
            <v>91</v>
          </cell>
          <cell r="B94" t="str">
            <v>ACEROPAXI TUBERIA ESTRUCTURAL CUADRADO</v>
          </cell>
          <cell r="C94" t="str">
            <v>Tubo Cuadrado 50x 1,50</v>
          </cell>
          <cell r="D94">
            <v>2.35</v>
          </cell>
          <cell r="E94">
            <v>2.35</v>
          </cell>
          <cell r="G94">
            <v>0</v>
          </cell>
        </row>
        <row r="95">
          <cell r="A95">
            <v>92</v>
          </cell>
          <cell r="B95" t="str">
            <v>ACEROPAXI TUBERIA ESTRUCTURAL CUADRADO</v>
          </cell>
          <cell r="C95" t="str">
            <v>Tubo Cuadrado 50x 2,0</v>
          </cell>
          <cell r="D95">
            <v>3.11</v>
          </cell>
          <cell r="E95">
            <v>3.11</v>
          </cell>
          <cell r="G95">
            <v>0</v>
          </cell>
        </row>
        <row r="96">
          <cell r="A96">
            <v>93</v>
          </cell>
          <cell r="B96" t="str">
            <v>ACEROPAXI TUBERIA ESTRUCTURAL CUADRADO</v>
          </cell>
          <cell r="C96" t="str">
            <v>Tubo Cuadrado 50x 3,0</v>
          </cell>
          <cell r="D96">
            <v>4.59</v>
          </cell>
          <cell r="E96">
            <v>4.59</v>
          </cell>
          <cell r="G96">
            <v>0</v>
          </cell>
        </row>
        <row r="97">
          <cell r="A97">
            <v>94</v>
          </cell>
          <cell r="B97" t="str">
            <v>ACEROPAXI TUBERIA ESTRUCTURAL CUADRADO</v>
          </cell>
          <cell r="C97" t="str">
            <v>Tubo Cuadrado 60x 2,0</v>
          </cell>
          <cell r="D97">
            <v>3.74</v>
          </cell>
          <cell r="E97">
            <v>3.74</v>
          </cell>
          <cell r="G97">
            <v>0</v>
          </cell>
        </row>
        <row r="98">
          <cell r="A98">
            <v>95</v>
          </cell>
          <cell r="B98" t="str">
            <v>ACEROPAXI TUBERIA ESTRUCTURAL CUADRADO</v>
          </cell>
          <cell r="C98" t="str">
            <v>Tubo Cuadrado 60x 3,0</v>
          </cell>
          <cell r="D98">
            <v>5.56</v>
          </cell>
          <cell r="E98">
            <v>5.56</v>
          </cell>
          <cell r="G98">
            <v>0</v>
          </cell>
        </row>
        <row r="99">
          <cell r="A99">
            <v>96</v>
          </cell>
          <cell r="B99" t="str">
            <v>ACEROPAXI TUBERIA ESTRUCTURAL CUADRADO</v>
          </cell>
          <cell r="C99" t="str">
            <v>Tubo Cuadrado 75x 2,0</v>
          </cell>
          <cell r="D99">
            <v>4.55</v>
          </cell>
          <cell r="E99">
            <v>4.55</v>
          </cell>
          <cell r="G99">
            <v>0</v>
          </cell>
        </row>
        <row r="100">
          <cell r="A100">
            <v>97</v>
          </cell>
          <cell r="B100" t="str">
            <v>ACEROPAXI TUBERIA ESTRUCTURAL CUADRADO</v>
          </cell>
          <cell r="C100" t="str">
            <v>Tubo Cuadrado 75x 3,0</v>
          </cell>
          <cell r="D100">
            <v>6.88</v>
          </cell>
          <cell r="E100">
            <v>6.88</v>
          </cell>
          <cell r="G100">
            <v>0</v>
          </cell>
        </row>
        <row r="101">
          <cell r="A101">
            <v>98</v>
          </cell>
          <cell r="B101" t="str">
            <v>ACEROPAXI TUBERIA ESTRUCTURAL CUADRADO</v>
          </cell>
          <cell r="C101" t="str">
            <v>Tubo Cuadrado 75x 4,0</v>
          </cell>
          <cell r="D101">
            <v>9.11</v>
          </cell>
          <cell r="E101">
            <v>9.11</v>
          </cell>
          <cell r="G101">
            <v>0</v>
          </cell>
        </row>
        <row r="102">
          <cell r="A102">
            <v>99</v>
          </cell>
          <cell r="B102" t="str">
            <v>ACEROPAXI TUBERIA ESTRUCTURAL CUADRADO</v>
          </cell>
          <cell r="C102" t="str">
            <v>Tubo Cuadrado 100x 2,0</v>
          </cell>
          <cell r="D102">
            <v>6.22</v>
          </cell>
          <cell r="E102">
            <v>6.22</v>
          </cell>
          <cell r="G102">
            <v>0</v>
          </cell>
        </row>
        <row r="103">
          <cell r="A103">
            <v>100</v>
          </cell>
          <cell r="B103" t="str">
            <v>ACEROPAXI TUBERIA ESTRUCTURAL CUADRADO</v>
          </cell>
          <cell r="C103" t="str">
            <v>Tubo Cuadrado 100x 3,0</v>
          </cell>
          <cell r="D103">
            <v>9.26</v>
          </cell>
          <cell r="E103">
            <v>9.26</v>
          </cell>
          <cell r="G103">
            <v>0</v>
          </cell>
        </row>
        <row r="104">
          <cell r="A104">
            <v>101</v>
          </cell>
          <cell r="B104" t="str">
            <v>ACEROPAXI TUBERIA ESTRUCTURAL CUADRADO</v>
          </cell>
          <cell r="C104" t="str">
            <v>Tubo Cuadrado 100x 4,0</v>
          </cell>
          <cell r="D104">
            <v>12.28</v>
          </cell>
          <cell r="E104">
            <v>12.28</v>
          </cell>
          <cell r="G104">
            <v>0</v>
          </cell>
        </row>
        <row r="105">
          <cell r="A105">
            <v>102</v>
          </cell>
          <cell r="B105" t="str">
            <v>ACEROPAXI TUBERIA ESTRUCTURAL POSTE</v>
          </cell>
          <cell r="C105" t="str">
            <v>Tubo Poste Galvanizado 1" x 1,8</v>
          </cell>
          <cell r="D105">
            <v>1.07</v>
          </cell>
          <cell r="E105">
            <v>1.07</v>
          </cell>
          <cell r="G105">
            <v>0</v>
          </cell>
        </row>
        <row r="106">
          <cell r="A106">
            <v>103</v>
          </cell>
          <cell r="B106" t="str">
            <v>ACEROPAXI TUBERIA ESTRUCTURAL POSTE</v>
          </cell>
          <cell r="C106" t="str">
            <v>Tubo Poste Galvanizado 1" x 2,0</v>
          </cell>
          <cell r="D106">
            <v>1.1599999999999999</v>
          </cell>
          <cell r="E106">
            <v>1.1599999999999999</v>
          </cell>
          <cell r="G106">
            <v>0</v>
          </cell>
        </row>
        <row r="107">
          <cell r="A107">
            <v>104</v>
          </cell>
          <cell r="B107" t="str">
            <v>ACEROPAXI TUBERIA ESTRUCTURAL POSTE</v>
          </cell>
          <cell r="C107" t="str">
            <v>Tubo Poste Galvanizado 1 1/4" x 1,8</v>
          </cell>
          <cell r="D107">
            <v>1.36</v>
          </cell>
          <cell r="E107">
            <v>1.36</v>
          </cell>
          <cell r="G107">
            <v>0</v>
          </cell>
        </row>
        <row r="108">
          <cell r="A108">
            <v>105</v>
          </cell>
          <cell r="B108" t="str">
            <v>ACEROPAXI TUBERIA ESTRUCTURAL POSTE</v>
          </cell>
          <cell r="C108" t="str">
            <v>Tubo Poste Galvanizado 1 1/4" x 2,0</v>
          </cell>
          <cell r="D108">
            <v>1.49</v>
          </cell>
          <cell r="E108">
            <v>1.49</v>
          </cell>
          <cell r="G108">
            <v>0</v>
          </cell>
        </row>
        <row r="109">
          <cell r="A109">
            <v>106</v>
          </cell>
          <cell r="B109" t="str">
            <v>ACEROPAXI TUBERIA ESTRUCTURAL POSTE</v>
          </cell>
          <cell r="C109" t="str">
            <v>Tubo Poste Galvanizado 1 1/2" x 1,8</v>
          </cell>
          <cell r="D109">
            <v>1.65</v>
          </cell>
          <cell r="E109">
            <v>1.65</v>
          </cell>
          <cell r="G109">
            <v>0</v>
          </cell>
        </row>
        <row r="110">
          <cell r="A110">
            <v>107</v>
          </cell>
          <cell r="B110" t="str">
            <v>ACEROPAXI TUBERIA ESTRUCTURAL POSTE</v>
          </cell>
          <cell r="C110" t="str">
            <v>Tubo Poste Galvanizado 1 1/2" x 2,0</v>
          </cell>
          <cell r="D110">
            <v>1.8</v>
          </cell>
          <cell r="E110">
            <v>1.8</v>
          </cell>
          <cell r="G110">
            <v>0</v>
          </cell>
        </row>
        <row r="111">
          <cell r="A111">
            <v>108</v>
          </cell>
          <cell r="B111" t="str">
            <v>ACEROPAXI TUBERIA ESTRUCTURAL POSTE</v>
          </cell>
          <cell r="C111" t="str">
            <v>Tubo Poste Galvanizado 1 3/4" x 1,8</v>
          </cell>
          <cell r="D111">
            <v>1.84</v>
          </cell>
          <cell r="E111">
            <v>1.84</v>
          </cell>
          <cell r="G111">
            <v>0</v>
          </cell>
        </row>
        <row r="112">
          <cell r="A112">
            <v>109</v>
          </cell>
          <cell r="B112" t="str">
            <v>ACEROPAXI TUBERIA ESTRUCTURAL POSTE</v>
          </cell>
          <cell r="C112" t="str">
            <v>Tubo Poste Galvanizado 1 3/4" x 2,0</v>
          </cell>
          <cell r="D112">
            <v>2.04</v>
          </cell>
          <cell r="E112">
            <v>2.04</v>
          </cell>
          <cell r="G112">
            <v>0</v>
          </cell>
        </row>
        <row r="113">
          <cell r="A113">
            <v>110</v>
          </cell>
          <cell r="B113" t="str">
            <v>ACEROPAXI TUBERIA ESTRUCTURAL POSTE</v>
          </cell>
          <cell r="C113" t="str">
            <v>Tubo Poste Galvanizado 2" x 1,8</v>
          </cell>
          <cell r="D113">
            <v>2.2200000000000002</v>
          </cell>
          <cell r="E113">
            <v>2.2200000000000002</v>
          </cell>
          <cell r="G113">
            <v>0</v>
          </cell>
        </row>
        <row r="114">
          <cell r="A114">
            <v>111</v>
          </cell>
          <cell r="B114" t="str">
            <v>ACEROPAXI TUBERIA ESTRUCTURAL POSTE</v>
          </cell>
          <cell r="C114" t="str">
            <v>Tubo Poste Galvanizado 2" x 2,0</v>
          </cell>
          <cell r="D114">
            <v>2.42</v>
          </cell>
          <cell r="E114">
            <v>2.42</v>
          </cell>
          <cell r="G114">
            <v>0</v>
          </cell>
        </row>
        <row r="115">
          <cell r="A115">
            <v>112</v>
          </cell>
          <cell r="B115" t="str">
            <v>ACEROPAXI TUBERIA ESTRUCTURAL POSTE</v>
          </cell>
          <cell r="C115" t="str">
            <v>Tubo Poste Galvanizado 2 1/4" x 1,8</v>
          </cell>
          <cell r="D115">
            <v>2.65</v>
          </cell>
          <cell r="E115">
            <v>2.65</v>
          </cell>
          <cell r="G115">
            <v>0</v>
          </cell>
        </row>
        <row r="116">
          <cell r="A116">
            <v>113</v>
          </cell>
          <cell r="B116" t="str">
            <v>ACEROPAXI TUBERIA ESTRUCTURAL POSTE</v>
          </cell>
          <cell r="C116" t="str">
            <v>Tubo Poste Galvanizado 2 1/4" x 2,0</v>
          </cell>
          <cell r="D116">
            <v>2.95</v>
          </cell>
          <cell r="E116">
            <v>2.95</v>
          </cell>
          <cell r="G116">
            <v>0</v>
          </cell>
        </row>
        <row r="117">
          <cell r="A117">
            <v>114</v>
          </cell>
          <cell r="B117" t="str">
            <v>ACEROPAXI TUBERIA ESTRUCTURAL POSTE</v>
          </cell>
          <cell r="C117" t="str">
            <v>Tubo Poste Galvanizado 2 1/2" x 1,8</v>
          </cell>
          <cell r="D117">
            <v>2.78</v>
          </cell>
          <cell r="E117">
            <v>2.78</v>
          </cell>
          <cell r="G117">
            <v>0</v>
          </cell>
        </row>
        <row r="118">
          <cell r="A118">
            <v>115</v>
          </cell>
          <cell r="B118" t="str">
            <v>ACEROPAXI TUBERIA ESTRUCTURAL POSTE</v>
          </cell>
          <cell r="C118" t="str">
            <v>Tubo Poste Galvanizado 2 1/2" x 2,0</v>
          </cell>
          <cell r="D118">
            <v>3.09</v>
          </cell>
          <cell r="E118">
            <v>3.09</v>
          </cell>
          <cell r="G118">
            <v>0</v>
          </cell>
        </row>
        <row r="119">
          <cell r="A119">
            <v>116</v>
          </cell>
          <cell r="B119" t="str">
            <v>ACEROPAXI TUBERIA ESTRUCTURAL RECTANGULAR</v>
          </cell>
          <cell r="C119" t="str">
            <v>Tubo Rectangular 20x 40x 1,50</v>
          </cell>
          <cell r="D119">
            <v>1.4</v>
          </cell>
          <cell r="E119">
            <v>1.4</v>
          </cell>
          <cell r="G119">
            <v>0</v>
          </cell>
        </row>
        <row r="120">
          <cell r="A120">
            <v>117</v>
          </cell>
          <cell r="B120" t="str">
            <v>ACEROPAXI TUBERIA ESTRUCTURAL RECTANGULAR</v>
          </cell>
          <cell r="C120" t="str">
            <v>Tubo Rectangular 20x 40x 2,0</v>
          </cell>
          <cell r="D120">
            <v>1.85</v>
          </cell>
          <cell r="E120">
            <v>1.85</v>
          </cell>
          <cell r="G120">
            <v>0</v>
          </cell>
        </row>
        <row r="121">
          <cell r="A121">
            <v>118</v>
          </cell>
          <cell r="B121" t="str">
            <v>ACEROPAXI TUBERIA ESTRUCTURAL RECTANGULAR</v>
          </cell>
          <cell r="C121" t="str">
            <v>Tubo Rectangular 25x 50x 1,50</v>
          </cell>
          <cell r="D121">
            <v>1.76</v>
          </cell>
          <cell r="E121">
            <v>1.76</v>
          </cell>
          <cell r="G121">
            <v>0</v>
          </cell>
        </row>
        <row r="122">
          <cell r="A122">
            <v>119</v>
          </cell>
          <cell r="B122" t="str">
            <v>ACEROPAXI TUBERIA ESTRUCTURAL RECTANGULAR</v>
          </cell>
          <cell r="C122" t="str">
            <v>Tubo Rectangular 25x 50x 2,0</v>
          </cell>
          <cell r="D122">
            <v>2.3199999999999998</v>
          </cell>
          <cell r="E122">
            <v>2.3199999999999998</v>
          </cell>
          <cell r="G122">
            <v>0</v>
          </cell>
        </row>
        <row r="123">
          <cell r="A123">
            <v>120</v>
          </cell>
          <cell r="B123" t="str">
            <v>ACEROPAXI TUBERIA ESTRUCTURAL RECTANGULAR</v>
          </cell>
          <cell r="C123" t="str">
            <v>Tubo Rectangular 40x 60x 2,0</v>
          </cell>
          <cell r="D123">
            <v>3.13</v>
          </cell>
          <cell r="E123">
            <v>3.13</v>
          </cell>
          <cell r="G123">
            <v>0</v>
          </cell>
        </row>
        <row r="124">
          <cell r="A124">
            <v>121</v>
          </cell>
          <cell r="B124" t="str">
            <v>ACEROPAXI TUBERIA ESTRUCTURAL RECTANGULAR</v>
          </cell>
          <cell r="C124" t="str">
            <v>Tubo Rectangular 40x 60x 3,0</v>
          </cell>
          <cell r="D124">
            <v>4.62</v>
          </cell>
          <cell r="E124">
            <v>4.62</v>
          </cell>
          <cell r="G124">
            <v>0</v>
          </cell>
        </row>
        <row r="125">
          <cell r="A125">
            <v>122</v>
          </cell>
          <cell r="B125" t="str">
            <v>ACEROPAXI TUBERIA ESTRUCTURAL RECTANGULAR</v>
          </cell>
          <cell r="C125" t="str">
            <v>Tubo Rectangular 30x 70x 2,0</v>
          </cell>
          <cell r="D125">
            <v>3.13</v>
          </cell>
          <cell r="E125">
            <v>3.13</v>
          </cell>
          <cell r="G125">
            <v>0</v>
          </cell>
        </row>
        <row r="126">
          <cell r="A126">
            <v>123</v>
          </cell>
          <cell r="B126" t="str">
            <v>ACEROPAXI TUBERIA ESTRUCTURAL RECTANGULAR</v>
          </cell>
          <cell r="C126" t="str">
            <v>Tubo Rectangular 30x 70x 3,0</v>
          </cell>
          <cell r="D126">
            <v>4.62</v>
          </cell>
          <cell r="E126">
            <v>4.62</v>
          </cell>
          <cell r="G126">
            <v>0</v>
          </cell>
        </row>
        <row r="127">
          <cell r="A127">
            <v>124</v>
          </cell>
          <cell r="B127" t="str">
            <v>ACEROPAXI TUBERIA ESTRUCTURAL RECTANGULAR</v>
          </cell>
          <cell r="C127" t="str">
            <v>Tubo Rectangular 40x 80x 2,0</v>
          </cell>
          <cell r="D127">
            <v>3.72</v>
          </cell>
          <cell r="E127">
            <v>3.72</v>
          </cell>
          <cell r="G127">
            <v>0</v>
          </cell>
        </row>
        <row r="128">
          <cell r="A128">
            <v>125</v>
          </cell>
          <cell r="B128" t="str">
            <v>ACEROPAXI TUBERIA ESTRUCTURAL RECTANGULAR</v>
          </cell>
          <cell r="C128" t="str">
            <v>Tubo Rectangular 40x 80x 3,0</v>
          </cell>
          <cell r="D128">
            <v>5.54</v>
          </cell>
          <cell r="E128">
            <v>5.54</v>
          </cell>
          <cell r="G128">
            <v>0</v>
          </cell>
        </row>
        <row r="129">
          <cell r="A129">
            <v>126</v>
          </cell>
          <cell r="B129" t="str">
            <v>ACEROPAXI TUBERIA ESTRUCTURAL RECTANGULAR</v>
          </cell>
          <cell r="C129" t="str">
            <v>Tubo Rectangular 45x 75x 2,0</v>
          </cell>
          <cell r="D129">
            <v>3.74</v>
          </cell>
          <cell r="E129">
            <v>3.74</v>
          </cell>
          <cell r="G129">
            <v>0</v>
          </cell>
        </row>
        <row r="130">
          <cell r="A130">
            <v>127</v>
          </cell>
          <cell r="B130" t="str">
            <v>ACEROPAXI TUBERIA ESTRUCTURAL RECTANGULAR</v>
          </cell>
          <cell r="C130" t="str">
            <v>Tubo Rectangular 45x 75x 3,0</v>
          </cell>
          <cell r="D130">
            <v>5.56</v>
          </cell>
          <cell r="E130">
            <v>5.56</v>
          </cell>
          <cell r="G130">
            <v>0</v>
          </cell>
        </row>
        <row r="131">
          <cell r="A131">
            <v>128</v>
          </cell>
          <cell r="B131" t="str">
            <v>ACEROPAXI TUBERIA ESTRUCTURAL RECTANGULAR</v>
          </cell>
          <cell r="C131" t="str">
            <v>Tubo Rectangular 45x 75x 4,0</v>
          </cell>
          <cell r="D131">
            <v>7.35</v>
          </cell>
          <cell r="E131">
            <v>7.35</v>
          </cell>
          <cell r="G131">
            <v>0</v>
          </cell>
        </row>
        <row r="132">
          <cell r="A132">
            <v>129</v>
          </cell>
          <cell r="B132" t="str">
            <v>ACEROPAXI TUBERIA ESTRUCTURAL RECTANGULAR</v>
          </cell>
          <cell r="C132" t="str">
            <v>Tubo Rectangular 50x 100x 2,0</v>
          </cell>
          <cell r="D132">
            <v>4.63</v>
          </cell>
          <cell r="E132">
            <v>4.63</v>
          </cell>
          <cell r="G132">
            <v>0</v>
          </cell>
        </row>
        <row r="133">
          <cell r="A133">
            <v>130</v>
          </cell>
          <cell r="B133" t="str">
            <v>ACEROPAXI TUBERIA ESTRUCTURAL RECTANGULAR</v>
          </cell>
          <cell r="C133" t="str">
            <v>Tubo Rectangular 50x 100x 3,0</v>
          </cell>
          <cell r="D133">
            <v>6.88</v>
          </cell>
          <cell r="E133">
            <v>6.88</v>
          </cell>
          <cell r="G133">
            <v>0</v>
          </cell>
        </row>
        <row r="134">
          <cell r="A134">
            <v>131</v>
          </cell>
          <cell r="B134" t="str">
            <v>ACEROPAXI TUBERIA ESTRUCTURAL RECTANGULAR</v>
          </cell>
          <cell r="C134" t="str">
            <v>Tubo Rectangular 50x 100x 4,0</v>
          </cell>
          <cell r="D134">
            <v>9.11</v>
          </cell>
          <cell r="E134">
            <v>9.11</v>
          </cell>
          <cell r="G134">
            <v>0</v>
          </cell>
        </row>
        <row r="135">
          <cell r="A135">
            <v>132</v>
          </cell>
          <cell r="B135" t="str">
            <v>ACEROPAXI TUBERIA ESTRUCTURAL REDONDO</v>
          </cell>
          <cell r="C135" t="str">
            <v>Tubo redondo 5/8" x 1,50</v>
          </cell>
          <cell r="D135">
            <v>0.55000000000000004</v>
          </cell>
          <cell r="E135">
            <v>0.55000000000000004</v>
          </cell>
          <cell r="G135">
            <v>0</v>
          </cell>
        </row>
        <row r="136">
          <cell r="A136">
            <v>133</v>
          </cell>
          <cell r="B136" t="str">
            <v>ACEROPAXI TUBERIA ESTRUCTURAL REDONDO</v>
          </cell>
          <cell r="C136" t="str">
            <v>Tubo redondo 3/4" x 1,50</v>
          </cell>
          <cell r="D136">
            <v>0.67</v>
          </cell>
          <cell r="E136">
            <v>0.67</v>
          </cell>
          <cell r="G136">
            <v>0</v>
          </cell>
        </row>
        <row r="137">
          <cell r="A137">
            <v>134</v>
          </cell>
          <cell r="B137" t="str">
            <v>ACEROPAXI TUBERIA ESTRUCTURAL REDONDO</v>
          </cell>
          <cell r="C137" t="str">
            <v>Tubo redondo 7/8" x 1,50</v>
          </cell>
          <cell r="D137">
            <v>0.78</v>
          </cell>
          <cell r="E137">
            <v>0.78</v>
          </cell>
          <cell r="G137">
            <v>0</v>
          </cell>
        </row>
        <row r="138">
          <cell r="A138">
            <v>135</v>
          </cell>
          <cell r="B138" t="str">
            <v>ACEROPAXI TUBERIA ESTRUCTURAL REDONDO</v>
          </cell>
          <cell r="C138" t="str">
            <v>Tubo redondo 1" x 1,50</v>
          </cell>
          <cell r="D138">
            <v>0.94</v>
          </cell>
          <cell r="E138">
            <v>0.94</v>
          </cell>
          <cell r="G138">
            <v>0</v>
          </cell>
        </row>
        <row r="139">
          <cell r="A139">
            <v>136</v>
          </cell>
          <cell r="B139" t="str">
            <v>ACEROPAXI TUBERIA ESTRUCTURAL REDONDO</v>
          </cell>
          <cell r="C139" t="str">
            <v>Tubo redondo 1" x 2,0</v>
          </cell>
          <cell r="D139">
            <v>1.23</v>
          </cell>
          <cell r="E139">
            <v>1.23</v>
          </cell>
          <cell r="G139">
            <v>0</v>
          </cell>
        </row>
        <row r="140">
          <cell r="A140">
            <v>137</v>
          </cell>
          <cell r="B140" t="str">
            <v>ACEROPAXI TUBERIA ESTRUCTURAL REDONDO</v>
          </cell>
          <cell r="C140" t="str">
            <v>Tubo redondo 1 1/4" x 1,50</v>
          </cell>
          <cell r="D140">
            <v>1.18</v>
          </cell>
          <cell r="E140">
            <v>1.18</v>
          </cell>
          <cell r="G140">
            <v>0</v>
          </cell>
        </row>
        <row r="141">
          <cell r="A141">
            <v>138</v>
          </cell>
          <cell r="B141" t="str">
            <v>ACEROPAXI TUBERIA ESTRUCTURAL REDONDO</v>
          </cell>
          <cell r="C141" t="str">
            <v>Tubo redondo 1 1/4" x 2,0</v>
          </cell>
          <cell r="D141">
            <v>1.55</v>
          </cell>
          <cell r="E141">
            <v>1.55</v>
          </cell>
          <cell r="G141">
            <v>0</v>
          </cell>
        </row>
        <row r="142">
          <cell r="A142">
            <v>139</v>
          </cell>
          <cell r="B142" t="str">
            <v>ACEROPAXI TUBERIA ESTRUCTURAL REDONDO</v>
          </cell>
          <cell r="C142" t="str">
            <v>Tubo redondo 1 1/2" x 1,50</v>
          </cell>
          <cell r="D142">
            <v>1.4</v>
          </cell>
          <cell r="E142">
            <v>1.4</v>
          </cell>
          <cell r="G142">
            <v>0</v>
          </cell>
        </row>
        <row r="143">
          <cell r="A143">
            <v>140</v>
          </cell>
          <cell r="B143" t="str">
            <v>ACEROPAXI TUBERIA ESTRUCTURAL REDONDO</v>
          </cell>
          <cell r="C143" t="str">
            <v>Tubo redondo 1 1/2" x 2,0</v>
          </cell>
          <cell r="D143">
            <v>1.85</v>
          </cell>
          <cell r="E143">
            <v>1.85</v>
          </cell>
          <cell r="G143">
            <v>0</v>
          </cell>
        </row>
        <row r="144">
          <cell r="A144">
            <v>141</v>
          </cell>
          <cell r="B144" t="str">
            <v>ACEROPAXI TUBERIA ESTRUCTURAL REDONDO</v>
          </cell>
          <cell r="C144" t="str">
            <v>Tubo redondo 1 3/4" x 1,50</v>
          </cell>
          <cell r="D144">
            <v>1.6</v>
          </cell>
          <cell r="E144">
            <v>1.6</v>
          </cell>
          <cell r="G144">
            <v>0</v>
          </cell>
        </row>
        <row r="145">
          <cell r="A145">
            <v>142</v>
          </cell>
          <cell r="B145" t="str">
            <v>ACEROPAXI TUBERIA ESTRUCTURAL REDONDO</v>
          </cell>
          <cell r="C145" t="str">
            <v>Tubo redondo 1 3/4" x 2,0</v>
          </cell>
          <cell r="D145">
            <v>2.13</v>
          </cell>
          <cell r="E145">
            <v>2.13</v>
          </cell>
          <cell r="G145">
            <v>0</v>
          </cell>
        </row>
        <row r="146">
          <cell r="A146">
            <v>143</v>
          </cell>
          <cell r="B146" t="str">
            <v>ACEROPAXI TUBERIA ESTRUCTURAL REDONDO</v>
          </cell>
          <cell r="C146" t="str">
            <v>Tubo redondo 1 7/8" x 1,50</v>
          </cell>
          <cell r="D146">
            <v>1.76</v>
          </cell>
          <cell r="E146">
            <v>1.76</v>
          </cell>
          <cell r="G146">
            <v>0</v>
          </cell>
        </row>
        <row r="147">
          <cell r="A147">
            <v>144</v>
          </cell>
          <cell r="B147" t="str">
            <v>ACEROPAXI TUBERIA ESTRUCTURAL REDONDO</v>
          </cell>
          <cell r="C147" t="str">
            <v>Tubo redondo 1 7/8" x 2,0</v>
          </cell>
          <cell r="D147">
            <v>2.3199999999999998</v>
          </cell>
          <cell r="E147">
            <v>2.3199999999999998</v>
          </cell>
          <cell r="G147">
            <v>0</v>
          </cell>
        </row>
        <row r="148">
          <cell r="A148">
            <v>145</v>
          </cell>
          <cell r="B148" t="str">
            <v>ACEROPAXI TUBERIA ESTRUCTURAL REDONDO</v>
          </cell>
          <cell r="C148" t="str">
            <v>Tubo redondo 2" x 1,50</v>
          </cell>
          <cell r="D148">
            <v>1.88</v>
          </cell>
          <cell r="E148">
            <v>1.88</v>
          </cell>
          <cell r="G148">
            <v>0</v>
          </cell>
        </row>
        <row r="149">
          <cell r="A149">
            <v>146</v>
          </cell>
          <cell r="B149" t="str">
            <v>ACEROPAXI TUBERIA ESTRUCTURAL REDONDO</v>
          </cell>
          <cell r="C149" t="str">
            <v>Tubo redondo 2" x 2,0</v>
          </cell>
          <cell r="D149">
            <v>2.4900000000000002</v>
          </cell>
          <cell r="E149">
            <v>2.4900000000000002</v>
          </cell>
          <cell r="G149">
            <v>0</v>
          </cell>
        </row>
        <row r="150">
          <cell r="A150">
            <v>147</v>
          </cell>
          <cell r="B150" t="str">
            <v>ACEROPAXI TUBERIA ESTRUCTURAL REDONDO</v>
          </cell>
          <cell r="C150" t="str">
            <v>Tubo redondo 2"  x 3,0</v>
          </cell>
          <cell r="D150">
            <v>3.67</v>
          </cell>
          <cell r="E150">
            <v>3.67</v>
          </cell>
          <cell r="G150">
            <v>0</v>
          </cell>
        </row>
        <row r="151">
          <cell r="A151">
            <v>148</v>
          </cell>
          <cell r="B151" t="str">
            <v>ACEROPAXI TUBERIA ESTRUCTURAL REDONDO</v>
          </cell>
          <cell r="C151" t="str">
            <v xml:space="preserve">Tubo redondo 2 1/4" x 1,50 </v>
          </cell>
          <cell r="D151">
            <v>2.08</v>
          </cell>
          <cell r="E151">
            <v>2.08</v>
          </cell>
          <cell r="G151">
            <v>0</v>
          </cell>
        </row>
        <row r="152">
          <cell r="A152">
            <v>149</v>
          </cell>
          <cell r="B152" t="str">
            <v>ACEROPAXI TUBERIA ESTRUCTURAL REDONDO</v>
          </cell>
          <cell r="C152" t="str">
            <v>Tubo redondo 2 1/4" x 2,0</v>
          </cell>
          <cell r="D152">
            <v>2.79</v>
          </cell>
          <cell r="E152">
            <v>2.79</v>
          </cell>
          <cell r="G152">
            <v>0</v>
          </cell>
        </row>
        <row r="153">
          <cell r="A153">
            <v>150</v>
          </cell>
          <cell r="B153" t="str">
            <v>ACEROPAXI TUBERIA ESTRUCTURAL REDONDO</v>
          </cell>
          <cell r="C153" t="str">
            <v>Tubo redondo 2 3/8" x 1,50</v>
          </cell>
          <cell r="D153">
            <v>2.23</v>
          </cell>
          <cell r="E153">
            <v>2.23</v>
          </cell>
          <cell r="G153">
            <v>0</v>
          </cell>
        </row>
        <row r="154">
          <cell r="A154">
            <v>151</v>
          </cell>
          <cell r="B154" t="str">
            <v>ACEROPAXI TUBERIA ESTRUCTURAL REDONDO</v>
          </cell>
          <cell r="C154" t="str">
            <v>Tubo redondo 2 3/8" x 2,0</v>
          </cell>
          <cell r="D154">
            <v>2.97</v>
          </cell>
          <cell r="E154">
            <v>2.97</v>
          </cell>
          <cell r="G154">
            <v>0</v>
          </cell>
        </row>
        <row r="155">
          <cell r="A155">
            <v>152</v>
          </cell>
          <cell r="B155" t="str">
            <v>ACEROPAXI TUBERIA ESTRUCTURAL REDONDO</v>
          </cell>
          <cell r="C155" t="str">
            <v>Tubo redondo 2 3/8" x 3,0</v>
          </cell>
          <cell r="D155">
            <v>4.38</v>
          </cell>
          <cell r="E155">
            <v>4.38</v>
          </cell>
          <cell r="G155">
            <v>0</v>
          </cell>
        </row>
        <row r="156">
          <cell r="A156">
            <v>153</v>
          </cell>
          <cell r="B156" t="str">
            <v>ACEROPAXI TUBERIA ESTRUCTURAL REDONDO</v>
          </cell>
          <cell r="C156" t="str">
            <v>Tubo redondo 2 1/2" x 1,50</v>
          </cell>
          <cell r="D156">
            <v>2.35</v>
          </cell>
          <cell r="E156">
            <v>2.35</v>
          </cell>
          <cell r="G156">
            <v>0</v>
          </cell>
        </row>
        <row r="157">
          <cell r="A157">
            <v>154</v>
          </cell>
          <cell r="B157" t="str">
            <v>ACEROPAXI TUBERIA ESTRUCTURAL REDONDO</v>
          </cell>
          <cell r="C157" t="str">
            <v>Tubo redondo 2 1/2" x 2,0</v>
          </cell>
          <cell r="D157">
            <v>3.11</v>
          </cell>
          <cell r="E157">
            <v>3.11</v>
          </cell>
          <cell r="G157">
            <v>0</v>
          </cell>
        </row>
        <row r="158">
          <cell r="A158">
            <v>155</v>
          </cell>
          <cell r="B158" t="str">
            <v>ACEROPAXI TUBERIA ESTRUCTURAL REDONDO</v>
          </cell>
          <cell r="C158" t="str">
            <v>Tubo redondo 2 1/2" x 3,0</v>
          </cell>
          <cell r="D158">
            <v>4.59</v>
          </cell>
          <cell r="E158">
            <v>4.59</v>
          </cell>
          <cell r="G158">
            <v>0</v>
          </cell>
        </row>
        <row r="159">
          <cell r="A159">
            <v>156</v>
          </cell>
          <cell r="B159" t="str">
            <v>ACEROPAXI TUBERIA ESTRUCTURAL REDONDO</v>
          </cell>
          <cell r="C159" t="str">
            <v>Tubo redondo 3" x 2,0</v>
          </cell>
          <cell r="D159">
            <v>3.74</v>
          </cell>
          <cell r="E159">
            <v>3.74</v>
          </cell>
          <cell r="G159">
            <v>0</v>
          </cell>
        </row>
        <row r="160">
          <cell r="A160">
            <v>157</v>
          </cell>
          <cell r="B160" t="str">
            <v>ACEROPAXI TUBERIA ESTRUCTURAL REDONDO</v>
          </cell>
          <cell r="C160" t="str">
            <v>Tubo redondo 3" x 3,0</v>
          </cell>
          <cell r="D160">
            <v>5.56</v>
          </cell>
          <cell r="E160">
            <v>5.56</v>
          </cell>
          <cell r="G160">
            <v>0</v>
          </cell>
        </row>
        <row r="161">
          <cell r="A161">
            <v>158</v>
          </cell>
          <cell r="B161" t="str">
            <v>ACEROPAXI TUBERIA ESTRUCTURAL REDONDO</v>
          </cell>
          <cell r="C161" t="str">
            <v>Tubo redondo 3" x 4,0</v>
          </cell>
          <cell r="D161">
            <v>7.35</v>
          </cell>
          <cell r="E161">
            <v>7.35</v>
          </cell>
          <cell r="G161">
            <v>0</v>
          </cell>
        </row>
        <row r="162">
          <cell r="A162">
            <v>159</v>
          </cell>
          <cell r="B162" t="str">
            <v>ACEROPAXI TUBERIA ESTRUCTURAL REDONDO</v>
          </cell>
          <cell r="C162" t="str">
            <v>Tubo redondo 3 1/2" x 2,0</v>
          </cell>
          <cell r="D162">
            <v>4.37</v>
          </cell>
          <cell r="E162">
            <v>4.37</v>
          </cell>
          <cell r="G162">
            <v>0</v>
          </cell>
        </row>
        <row r="163">
          <cell r="A163">
            <v>160</v>
          </cell>
          <cell r="B163" t="str">
            <v>ACEROPAXI TUBERIA ESTRUCTURAL REDONDO</v>
          </cell>
          <cell r="C163" t="str">
            <v>Tubo redondo 3 1/2" x 3,0</v>
          </cell>
          <cell r="D163">
            <v>6.5</v>
          </cell>
          <cell r="E163">
            <v>6.5</v>
          </cell>
          <cell r="G163">
            <v>0</v>
          </cell>
        </row>
        <row r="164">
          <cell r="A164">
            <v>161</v>
          </cell>
          <cell r="B164" t="str">
            <v>ACEROPAXI TUBERIA ESTRUCTURAL REDONDO</v>
          </cell>
          <cell r="C164" t="str">
            <v>Tubo redondo 3 1/2" x 4,0</v>
          </cell>
          <cell r="D164">
            <v>8.6</v>
          </cell>
          <cell r="E164">
            <v>8.6</v>
          </cell>
          <cell r="G164">
            <v>0</v>
          </cell>
        </row>
        <row r="165">
          <cell r="A165">
            <v>162</v>
          </cell>
          <cell r="B165" t="str">
            <v>ACEROPAXI TUBERIA ESTRUCTURAL REDONDO</v>
          </cell>
          <cell r="C165" t="str">
            <v>Tubo redondo 4 1/2" x 2,0</v>
          </cell>
          <cell r="D165">
            <v>5.61</v>
          </cell>
          <cell r="E165">
            <v>5.61</v>
          </cell>
          <cell r="G165">
            <v>0</v>
          </cell>
        </row>
        <row r="166">
          <cell r="A166">
            <v>163</v>
          </cell>
          <cell r="B166" t="str">
            <v>ACEROPAXI TUBERIA ESTRUCTURAL REDONDO</v>
          </cell>
          <cell r="C166" t="str">
            <v>Tubo redondo 4 1/2" x 3,0</v>
          </cell>
          <cell r="D166">
            <v>8.36</v>
          </cell>
          <cell r="E166">
            <v>8.36</v>
          </cell>
          <cell r="G166">
            <v>0</v>
          </cell>
        </row>
        <row r="167">
          <cell r="A167">
            <v>164</v>
          </cell>
          <cell r="B167" t="str">
            <v>ACEROPAXI TUBERIA ESTRUCTURAL REDONDO</v>
          </cell>
          <cell r="C167" t="str">
            <v>Tubo redondo 4 1/2" x 4,0</v>
          </cell>
          <cell r="D167">
            <v>11.09</v>
          </cell>
          <cell r="E167">
            <v>11.09</v>
          </cell>
          <cell r="G167">
            <v>0</v>
          </cell>
        </row>
        <row r="168">
          <cell r="A168">
            <v>165</v>
          </cell>
          <cell r="B168" t="str">
            <v>ACEROPAXI TUBERIA ESTRUCTURAL REDONDO</v>
          </cell>
          <cell r="C168" t="str">
            <v>Tubo redondo 5" x 2,0</v>
          </cell>
          <cell r="D168">
            <v>6.22</v>
          </cell>
          <cell r="E168">
            <v>6.22</v>
          </cell>
          <cell r="G168">
            <v>0</v>
          </cell>
        </row>
        <row r="169">
          <cell r="A169">
            <v>166</v>
          </cell>
          <cell r="B169" t="str">
            <v>ACEROPAXI TUBERIA ESTRUCTURAL REDONDO</v>
          </cell>
          <cell r="C169" t="str">
            <v>Tubo redondo 5" x 3,0</v>
          </cell>
          <cell r="D169">
            <v>9.26</v>
          </cell>
          <cell r="E169">
            <v>9.26</v>
          </cell>
          <cell r="G169">
            <v>0</v>
          </cell>
        </row>
        <row r="170">
          <cell r="A170">
            <v>167</v>
          </cell>
          <cell r="B170" t="str">
            <v>ACEROPAXI TUBERIA ESTRUCTURAL REDONDO</v>
          </cell>
          <cell r="C170" t="str">
            <v>Tubo redondo 5" x 4,0</v>
          </cell>
          <cell r="D170">
            <v>12.28</v>
          </cell>
          <cell r="E170">
            <v>12.28</v>
          </cell>
          <cell r="G170">
            <v>0</v>
          </cell>
        </row>
        <row r="171">
          <cell r="A171">
            <v>168</v>
          </cell>
          <cell r="B171" t="str">
            <v>ACEROPAXI TUBERIA ISO I</v>
          </cell>
          <cell r="C171" t="str">
            <v>Tubo ISO I 1/2"</v>
          </cell>
          <cell r="D171">
            <v>1.0900000000000001</v>
          </cell>
          <cell r="E171">
            <v>1.0900000000000001</v>
          </cell>
          <cell r="G171">
            <v>0</v>
          </cell>
        </row>
        <row r="172">
          <cell r="A172">
            <v>169</v>
          </cell>
          <cell r="B172" t="str">
            <v>ACEROPAXI TUBERIA ISO I</v>
          </cell>
          <cell r="C172" t="str">
            <v>Tubo ISO I 3/4"</v>
          </cell>
          <cell r="D172">
            <v>1.39</v>
          </cell>
          <cell r="E172">
            <v>1.39</v>
          </cell>
          <cell r="G172">
            <v>0</v>
          </cell>
        </row>
        <row r="173">
          <cell r="A173">
            <v>170</v>
          </cell>
          <cell r="B173" t="str">
            <v>ACEROPAXI TUBERIA ISO I</v>
          </cell>
          <cell r="C173" t="str">
            <v>Tubo ISO I 1"</v>
          </cell>
          <cell r="D173">
            <v>2.2000000000000002</v>
          </cell>
          <cell r="E173">
            <v>2.2000000000000002</v>
          </cell>
          <cell r="G173">
            <v>0</v>
          </cell>
        </row>
        <row r="174">
          <cell r="A174">
            <v>171</v>
          </cell>
          <cell r="B174" t="str">
            <v>ACEROPAXI TUBERIA ISO I</v>
          </cell>
          <cell r="C174" t="str">
            <v>Tubo ISO I 1 1/4"</v>
          </cell>
          <cell r="D174">
            <v>2.82</v>
          </cell>
          <cell r="E174">
            <v>2.82</v>
          </cell>
          <cell r="G174">
            <v>0</v>
          </cell>
        </row>
        <row r="175">
          <cell r="A175">
            <v>172</v>
          </cell>
          <cell r="B175" t="str">
            <v>ACEROPAXI TUBERIA ISO I</v>
          </cell>
          <cell r="C175" t="str">
            <v>Tubo ISO I 1 1/2"</v>
          </cell>
          <cell r="D175">
            <v>3.28</v>
          </cell>
          <cell r="E175">
            <v>3.28</v>
          </cell>
          <cell r="G175">
            <v>0</v>
          </cell>
        </row>
        <row r="176">
          <cell r="A176">
            <v>173</v>
          </cell>
          <cell r="B176" t="str">
            <v>ACEROPAXI TUBERIA ISO I</v>
          </cell>
          <cell r="C176" t="str">
            <v>Tubo ISO I 2"</v>
          </cell>
          <cell r="D176">
            <v>4.49</v>
          </cell>
          <cell r="E176">
            <v>4.49</v>
          </cell>
          <cell r="G176">
            <v>0</v>
          </cell>
        </row>
        <row r="177">
          <cell r="A177">
            <v>174</v>
          </cell>
          <cell r="B177" t="str">
            <v>ACEROPAXI TUBERIA ISO I</v>
          </cell>
          <cell r="C177" t="str">
            <v>Tubo ISO I 2 1/2"</v>
          </cell>
          <cell r="D177">
            <v>5.73</v>
          </cell>
          <cell r="E177">
            <v>5.73</v>
          </cell>
          <cell r="G177">
            <v>0</v>
          </cell>
        </row>
        <row r="178">
          <cell r="A178">
            <v>175</v>
          </cell>
          <cell r="B178" t="str">
            <v>ACEROPAXI TUBERIA ISO I</v>
          </cell>
          <cell r="C178" t="str">
            <v>Tubo ISO I 3"</v>
          </cell>
          <cell r="D178">
            <v>7.55</v>
          </cell>
          <cell r="E178">
            <v>7.55</v>
          </cell>
          <cell r="G178">
            <v>0</v>
          </cell>
        </row>
        <row r="179">
          <cell r="A179">
            <v>176</v>
          </cell>
          <cell r="B179" t="str">
            <v>ACEROPAXI TUBERIA ISO I</v>
          </cell>
          <cell r="C179" t="str">
            <v>Tubo ISO I 4"</v>
          </cell>
          <cell r="D179">
            <v>10.8</v>
          </cell>
          <cell r="E179">
            <v>10.8</v>
          </cell>
          <cell r="G179">
            <v>0</v>
          </cell>
        </row>
        <row r="180">
          <cell r="A180">
            <v>177</v>
          </cell>
          <cell r="B180" t="str">
            <v>ACEROPAXI TUBERIA ISO II</v>
          </cell>
          <cell r="C180" t="str">
            <v>Tubo ISO II 1/2"</v>
          </cell>
          <cell r="D180">
            <v>0.94699999999999995</v>
          </cell>
          <cell r="E180">
            <v>0.94699999999999995</v>
          </cell>
          <cell r="G180">
            <v>0</v>
          </cell>
        </row>
        <row r="181">
          <cell r="A181">
            <v>178</v>
          </cell>
          <cell r="B181" t="str">
            <v>ACEROPAXI TUBERIA ISO II</v>
          </cell>
          <cell r="C181" t="str">
            <v>Tubo ISO II 3/4"</v>
          </cell>
          <cell r="D181">
            <v>1.39</v>
          </cell>
          <cell r="E181">
            <v>1.39</v>
          </cell>
          <cell r="G181">
            <v>0</v>
          </cell>
        </row>
        <row r="182">
          <cell r="A182">
            <v>179</v>
          </cell>
          <cell r="B182" t="str">
            <v>ACEROPAXI TUBERIA ISO II</v>
          </cell>
          <cell r="C182" t="str">
            <v>Tubo ISO II 1"</v>
          </cell>
          <cell r="D182">
            <v>1.98</v>
          </cell>
          <cell r="E182">
            <v>1.98</v>
          </cell>
          <cell r="G182">
            <v>0</v>
          </cell>
        </row>
        <row r="183">
          <cell r="A183">
            <v>180</v>
          </cell>
          <cell r="B183" t="str">
            <v>ACEROPAXI TUBERIA ISO II</v>
          </cell>
          <cell r="C183" t="str">
            <v>Tubo ISO II 1 1/4"</v>
          </cell>
          <cell r="D183">
            <v>2.54</v>
          </cell>
          <cell r="E183">
            <v>2.54</v>
          </cell>
          <cell r="G183">
            <v>0</v>
          </cell>
        </row>
        <row r="184">
          <cell r="A184">
            <v>181</v>
          </cell>
          <cell r="B184" t="str">
            <v>ACEROPAXI TUBERIA ISO II</v>
          </cell>
          <cell r="C184" t="str">
            <v>Tubo ISO II 1 1/2"</v>
          </cell>
          <cell r="D184">
            <v>3.23</v>
          </cell>
          <cell r="E184">
            <v>3.23</v>
          </cell>
          <cell r="G184">
            <v>0</v>
          </cell>
        </row>
        <row r="185">
          <cell r="A185">
            <v>182</v>
          </cell>
          <cell r="B185" t="str">
            <v>ACEROPAXI TUBERIA ISO II</v>
          </cell>
          <cell r="C185" t="str">
            <v>Tubo ISO II 2"</v>
          </cell>
          <cell r="D185">
            <v>4.08</v>
          </cell>
          <cell r="E185">
            <v>4.08</v>
          </cell>
          <cell r="G185">
            <v>0</v>
          </cell>
        </row>
        <row r="186">
          <cell r="A186">
            <v>183</v>
          </cell>
          <cell r="B186" t="str">
            <v>ACEROPAXI TUBERIA ISO II</v>
          </cell>
          <cell r="C186" t="str">
            <v>Tubo ISO II 2 1/2"</v>
          </cell>
          <cell r="D186">
            <v>5.71</v>
          </cell>
          <cell r="E186">
            <v>5.71</v>
          </cell>
          <cell r="G186">
            <v>0</v>
          </cell>
        </row>
        <row r="187">
          <cell r="A187">
            <v>184</v>
          </cell>
          <cell r="B187" t="str">
            <v>ACEROPAXI TUBERIA ISO II</v>
          </cell>
          <cell r="C187" t="str">
            <v>Tubo ISO II 3"</v>
          </cell>
          <cell r="D187">
            <v>6.72</v>
          </cell>
          <cell r="E187">
            <v>6.72</v>
          </cell>
          <cell r="G187">
            <v>0</v>
          </cell>
        </row>
        <row r="188">
          <cell r="A188">
            <v>185</v>
          </cell>
          <cell r="B188" t="str">
            <v>ACEROPAXI TUBERIA ISO II</v>
          </cell>
          <cell r="C188" t="str">
            <v>Tubo ISO II 4"</v>
          </cell>
          <cell r="D188">
            <v>9.75</v>
          </cell>
          <cell r="E188">
            <v>9.75</v>
          </cell>
          <cell r="G188">
            <v>0</v>
          </cell>
        </row>
        <row r="189">
          <cell r="A189">
            <v>186</v>
          </cell>
          <cell r="B189" t="str">
            <v>ACEROPAXI TUBERIA MECANICA CUADRADA</v>
          </cell>
          <cell r="C189" t="str">
            <v>Tubo Cuadrado 12x 0,75</v>
          </cell>
          <cell r="D189">
            <v>0.28000000000000003</v>
          </cell>
          <cell r="E189">
            <v>0.28000000000000003</v>
          </cell>
          <cell r="G189">
            <v>0</v>
          </cell>
        </row>
        <row r="190">
          <cell r="A190">
            <v>187</v>
          </cell>
          <cell r="B190" t="str">
            <v>ACEROPAXI TUBERIA MECANICA CUADRADA</v>
          </cell>
          <cell r="C190" t="str">
            <v>Tubo Cuadrado 12x 0,90</v>
          </cell>
          <cell r="D190">
            <v>0.34</v>
          </cell>
          <cell r="E190">
            <v>0.34</v>
          </cell>
          <cell r="G190">
            <v>0</v>
          </cell>
        </row>
        <row r="191">
          <cell r="A191">
            <v>188</v>
          </cell>
          <cell r="B191" t="str">
            <v>ACEROPAXI TUBERIA MECANICA CUADRADA</v>
          </cell>
          <cell r="C191" t="str">
            <v>Tubo Cuadrado 20x 0,75</v>
          </cell>
          <cell r="D191">
            <v>0.46</v>
          </cell>
          <cell r="E191">
            <v>0.46</v>
          </cell>
          <cell r="G191">
            <v>0</v>
          </cell>
        </row>
        <row r="192">
          <cell r="A192">
            <v>189</v>
          </cell>
          <cell r="B192" t="str">
            <v>ACEROPAXI TUBERIA MECANICA CUADRADA</v>
          </cell>
          <cell r="C192" t="str">
            <v>Tubo Cuadrado 20x 0,90</v>
          </cell>
          <cell r="D192">
            <v>0.54</v>
          </cell>
          <cell r="E192">
            <v>0.54</v>
          </cell>
          <cell r="G192">
            <v>0</v>
          </cell>
        </row>
        <row r="193">
          <cell r="A193">
            <v>190</v>
          </cell>
          <cell r="B193" t="str">
            <v>ACEROPAXI TUBERIA MECANICA CUADRADA</v>
          </cell>
          <cell r="C193" t="str">
            <v>Tubo Cuadrado 20x 1,10</v>
          </cell>
          <cell r="D193">
            <v>0.65</v>
          </cell>
          <cell r="E193">
            <v>0.65</v>
          </cell>
          <cell r="G193">
            <v>0</v>
          </cell>
        </row>
        <row r="194">
          <cell r="A194">
            <v>191</v>
          </cell>
          <cell r="B194" t="str">
            <v>ACEROPAXI TUBERIA MECANICA CUADRADA</v>
          </cell>
          <cell r="C194" t="str">
            <v>Tubo Cuadrado 25x 0,75</v>
          </cell>
          <cell r="D194">
            <v>0.56999999999999995</v>
          </cell>
          <cell r="E194">
            <v>0.56999999999999995</v>
          </cell>
          <cell r="G194">
            <v>0</v>
          </cell>
        </row>
        <row r="195">
          <cell r="A195">
            <v>192</v>
          </cell>
          <cell r="B195" t="str">
            <v>ACEROPAXI TUBERIA MECANICA CUADRADA</v>
          </cell>
          <cell r="C195" t="str">
            <v>Tubo Cuadrado 25x 0,90</v>
          </cell>
          <cell r="D195">
            <v>0.72</v>
          </cell>
          <cell r="E195">
            <v>0.72</v>
          </cell>
          <cell r="G195">
            <v>0</v>
          </cell>
        </row>
        <row r="196">
          <cell r="A196">
            <v>193</v>
          </cell>
          <cell r="B196" t="str">
            <v>ACEROPAXI TUBERIA MECANICA CUADRADA</v>
          </cell>
          <cell r="C196" t="str">
            <v>Tubo Cuadrado 25x 1,10</v>
          </cell>
          <cell r="D196">
            <v>0.88</v>
          </cell>
          <cell r="E196">
            <v>0.88</v>
          </cell>
          <cell r="G196">
            <v>0</v>
          </cell>
        </row>
        <row r="197">
          <cell r="A197">
            <v>194</v>
          </cell>
          <cell r="B197" t="str">
            <v>ACEROPAXI TUBERIA MECANICA CUADRADA</v>
          </cell>
          <cell r="C197" t="str">
            <v>Tubo Cuadrado 30x 0,90</v>
          </cell>
          <cell r="D197">
            <v>0.82</v>
          </cell>
          <cell r="E197">
            <v>0.82</v>
          </cell>
          <cell r="G197">
            <v>0</v>
          </cell>
        </row>
        <row r="198">
          <cell r="A198">
            <v>195</v>
          </cell>
          <cell r="B198" t="str">
            <v>ACEROPAXI TUBERIA MECANICA CUADRADA</v>
          </cell>
          <cell r="C198" t="str">
            <v>Tubo Cuadrado 30x 1,10</v>
          </cell>
          <cell r="D198">
            <v>1</v>
          </cell>
          <cell r="E198">
            <v>1</v>
          </cell>
          <cell r="G198">
            <v>0</v>
          </cell>
        </row>
        <row r="199">
          <cell r="A199">
            <v>196</v>
          </cell>
          <cell r="B199" t="str">
            <v>ACEROPAXI TUBERIA MECANICA CUADRADA</v>
          </cell>
          <cell r="C199" t="str">
            <v>Tubo Cuadrado 40x 0,90</v>
          </cell>
          <cell r="D199">
            <v>1.07</v>
          </cell>
          <cell r="E199">
            <v>1.07</v>
          </cell>
          <cell r="G199">
            <v>0</v>
          </cell>
        </row>
        <row r="200">
          <cell r="A200">
            <v>197</v>
          </cell>
          <cell r="B200" t="str">
            <v>ACEROPAXI TUBERIA MECANICA CUADRADA</v>
          </cell>
          <cell r="C200" t="str">
            <v>Tubo Cuadrado 40x 1,10</v>
          </cell>
          <cell r="D200">
            <v>1.3</v>
          </cell>
          <cell r="E200">
            <v>1.3</v>
          </cell>
          <cell r="G200">
            <v>0</v>
          </cell>
        </row>
        <row r="201">
          <cell r="A201">
            <v>198</v>
          </cell>
          <cell r="B201" t="str">
            <v>ACEROPAXI TUBERIA MECANICA RECTANGULAR</v>
          </cell>
          <cell r="C201" t="str">
            <v>Tubo Rectangular 20x 40x 75</v>
          </cell>
          <cell r="D201">
            <v>0.69</v>
          </cell>
          <cell r="E201">
            <v>0.69</v>
          </cell>
          <cell r="G201">
            <v>0</v>
          </cell>
        </row>
        <row r="202">
          <cell r="A202">
            <v>199</v>
          </cell>
          <cell r="B202" t="str">
            <v>ACEROPAXI TUBERIA MECANICA RECTANGULAR</v>
          </cell>
          <cell r="C202" t="str">
            <v>Tubo Rectangular 20x 40x 0,90</v>
          </cell>
          <cell r="D202">
            <v>0.85</v>
          </cell>
          <cell r="E202">
            <v>0.85</v>
          </cell>
          <cell r="G202">
            <v>0</v>
          </cell>
        </row>
        <row r="203">
          <cell r="A203">
            <v>200</v>
          </cell>
          <cell r="B203" t="str">
            <v>ACEROPAXI TUBERIA MECANICA RECTANGULAR</v>
          </cell>
          <cell r="C203" t="str">
            <v>Tubo Rectangular 20x 40x 1,10</v>
          </cell>
          <cell r="D203">
            <v>1.04</v>
          </cell>
          <cell r="E203">
            <v>1.04</v>
          </cell>
          <cell r="G203">
            <v>0</v>
          </cell>
        </row>
        <row r="204">
          <cell r="A204">
            <v>201</v>
          </cell>
          <cell r="B204" t="str">
            <v>ACEROPAXI TUBERIA MECANICA RECTANGULAR</v>
          </cell>
          <cell r="C204" t="str">
            <v>Tubo Rectangular 25x 50x 0,90</v>
          </cell>
          <cell r="D204">
            <v>1.07</v>
          </cell>
          <cell r="E204">
            <v>1.07</v>
          </cell>
          <cell r="G204">
            <v>0</v>
          </cell>
        </row>
        <row r="205">
          <cell r="A205">
            <v>202</v>
          </cell>
          <cell r="B205" t="str">
            <v>ACEROPAXI TUBERIA MECANICA RECTANGULAR</v>
          </cell>
          <cell r="C205" t="str">
            <v>Tubo Rectangular 25x 50x 1,10</v>
          </cell>
          <cell r="D205">
            <v>1.3</v>
          </cell>
          <cell r="E205">
            <v>1.3</v>
          </cell>
          <cell r="G205">
            <v>0</v>
          </cell>
        </row>
        <row r="206">
          <cell r="A206">
            <v>203</v>
          </cell>
          <cell r="B206" t="str">
            <v>ACEROPAXI TUBERIA MECANICA REDONDA</v>
          </cell>
          <cell r="C206" t="str">
            <v>Tubo Redondo 1/2" x 0,75</v>
          </cell>
          <cell r="D206">
            <v>0.24</v>
          </cell>
          <cell r="E206">
            <v>0.24</v>
          </cell>
          <cell r="G206">
            <v>0</v>
          </cell>
        </row>
        <row r="207">
          <cell r="A207">
            <v>204</v>
          </cell>
          <cell r="B207" t="str">
            <v>ACEROPAXI TUBERIA MECANICA REDONDA</v>
          </cell>
          <cell r="C207" t="str">
            <v>Tubo Redondo 1/2" x 0,90</v>
          </cell>
          <cell r="D207">
            <v>0.28999999999999998</v>
          </cell>
          <cell r="E207">
            <v>0.28999999999999998</v>
          </cell>
          <cell r="G207">
            <v>0</v>
          </cell>
        </row>
        <row r="208">
          <cell r="A208">
            <v>205</v>
          </cell>
          <cell r="B208" t="str">
            <v>ACEROPAXI TUBERIA MECANICA REDONDA</v>
          </cell>
          <cell r="C208" t="str">
            <v>Tubo Redondo 5/8" x 0,75</v>
          </cell>
          <cell r="D208">
            <v>0.28999999999999998</v>
          </cell>
          <cell r="E208">
            <v>0.28999999999999998</v>
          </cell>
          <cell r="G208">
            <v>0</v>
          </cell>
        </row>
        <row r="209">
          <cell r="A209">
            <v>206</v>
          </cell>
          <cell r="B209" t="str">
            <v>ACEROPAXI TUBERIA MECANICA REDONDA</v>
          </cell>
          <cell r="C209" t="str">
            <v>Tubo Redondo 5/8" x 0,90</v>
          </cell>
          <cell r="D209">
            <v>0.34</v>
          </cell>
          <cell r="E209">
            <v>0.34</v>
          </cell>
          <cell r="G209">
            <v>0</v>
          </cell>
        </row>
        <row r="210">
          <cell r="A210">
            <v>207</v>
          </cell>
          <cell r="B210" t="str">
            <v>ACEROPAXI TUBERIA MECANICA REDONDA</v>
          </cell>
          <cell r="C210" t="str">
            <v>Tubo Redondo 5/8" x 1,10</v>
          </cell>
          <cell r="D210">
            <v>0.41</v>
          </cell>
          <cell r="E210">
            <v>0.41</v>
          </cell>
          <cell r="G210">
            <v>0</v>
          </cell>
        </row>
        <row r="211">
          <cell r="A211">
            <v>208</v>
          </cell>
          <cell r="B211" t="str">
            <v>ACEROPAXI TUBERIA MECANICA REDONDA</v>
          </cell>
          <cell r="C211" t="str">
            <v>Tubo Redondo 3/4" x 0,75</v>
          </cell>
          <cell r="D211">
            <v>0.35</v>
          </cell>
          <cell r="E211">
            <v>0.35</v>
          </cell>
          <cell r="G211">
            <v>0</v>
          </cell>
        </row>
        <row r="212">
          <cell r="A212">
            <v>209</v>
          </cell>
          <cell r="B212" t="str">
            <v>ACEROPAXI TUBERIA MECANICA REDONDA</v>
          </cell>
          <cell r="C212" t="str">
            <v>Tubo Redondo 3/4" x 0,90</v>
          </cell>
          <cell r="D212">
            <v>0.41</v>
          </cell>
          <cell r="E212">
            <v>0.41</v>
          </cell>
          <cell r="G212">
            <v>0</v>
          </cell>
        </row>
        <row r="213">
          <cell r="A213">
            <v>210</v>
          </cell>
          <cell r="B213" t="str">
            <v>ACEROPAXI TUBERIA MECANICA REDONDA</v>
          </cell>
          <cell r="C213" t="str">
            <v>Tubo Redondo 3/4" x 1,10</v>
          </cell>
          <cell r="D213">
            <v>0.5</v>
          </cell>
          <cell r="E213">
            <v>0.5</v>
          </cell>
          <cell r="G213">
            <v>0</v>
          </cell>
        </row>
        <row r="214">
          <cell r="A214">
            <v>211</v>
          </cell>
          <cell r="B214" t="str">
            <v>ACEROPAXI TUBERIA MECANICA REDONDA</v>
          </cell>
          <cell r="C214" t="str">
            <v>Tubo Redondo 7/8" x 0,75</v>
          </cell>
          <cell r="D214">
            <v>0.41</v>
          </cell>
          <cell r="E214">
            <v>0.41</v>
          </cell>
          <cell r="G214">
            <v>0</v>
          </cell>
        </row>
        <row r="215">
          <cell r="A215">
            <v>212</v>
          </cell>
          <cell r="B215" t="str">
            <v>ACEROPAXI TUBERIA MECANICA REDONDA</v>
          </cell>
          <cell r="C215" t="str">
            <v>Tubo Redondo 7/8" x 0,90</v>
          </cell>
          <cell r="D215">
            <v>0.49</v>
          </cell>
          <cell r="E215">
            <v>0.49</v>
          </cell>
          <cell r="G215">
            <v>0</v>
          </cell>
        </row>
        <row r="216">
          <cell r="A216">
            <v>213</v>
          </cell>
          <cell r="B216" t="str">
            <v>ACEROPAXI TUBERIA MECANICA REDONDA</v>
          </cell>
          <cell r="C216" t="str">
            <v>Tubo Redondo 7/8" x 1,10</v>
          </cell>
          <cell r="D216">
            <v>0.57999999999999996</v>
          </cell>
          <cell r="E216">
            <v>0.57999999999999996</v>
          </cell>
          <cell r="G216">
            <v>0</v>
          </cell>
        </row>
        <row r="217">
          <cell r="A217">
            <v>214</v>
          </cell>
          <cell r="B217" t="str">
            <v>ACEROPAXI TUBERIA MECANICA REDONDA</v>
          </cell>
          <cell r="C217" t="str">
            <v>Tubo Redondo 1" x 0,75</v>
          </cell>
          <cell r="D217">
            <v>0.46</v>
          </cell>
          <cell r="E217">
            <v>0.46</v>
          </cell>
          <cell r="G217">
            <v>0</v>
          </cell>
        </row>
        <row r="218">
          <cell r="A218">
            <v>215</v>
          </cell>
          <cell r="B218" t="str">
            <v>ACEROPAXI TUBERIA MECANICA REDONDA</v>
          </cell>
          <cell r="C218" t="str">
            <v>Tubo Redondo 1" x 0,90</v>
          </cell>
          <cell r="D218">
            <v>0.56999999999999995</v>
          </cell>
          <cell r="E218">
            <v>0.56999999999999995</v>
          </cell>
          <cell r="G218">
            <v>0</v>
          </cell>
        </row>
        <row r="219">
          <cell r="A219">
            <v>216</v>
          </cell>
          <cell r="B219" t="str">
            <v>ACEROPAXI TUBERIA MECANICA REDONDA</v>
          </cell>
          <cell r="C219" t="str">
            <v>Tubo Redondo 1" x 1,10</v>
          </cell>
          <cell r="D219">
            <v>0.7</v>
          </cell>
          <cell r="E219">
            <v>0.7</v>
          </cell>
          <cell r="G219">
            <v>0</v>
          </cell>
        </row>
        <row r="220">
          <cell r="A220">
            <v>217</v>
          </cell>
          <cell r="B220" t="str">
            <v>ACEROPAXI TUBERIA MECANICA REDONDA</v>
          </cell>
          <cell r="C220" t="str">
            <v>Tubo Redondo 1 1/4" x 0,90</v>
          </cell>
          <cell r="D220">
            <v>0.72</v>
          </cell>
          <cell r="E220">
            <v>0.72</v>
          </cell>
          <cell r="G220">
            <v>0</v>
          </cell>
        </row>
        <row r="221">
          <cell r="A221">
            <v>218</v>
          </cell>
          <cell r="B221" t="str">
            <v>ACEROPAXI TUBERIA MECANICA REDONDA</v>
          </cell>
          <cell r="C221" t="str">
            <v>Tubo Redondo 1 1/4" x 1,10</v>
          </cell>
          <cell r="D221">
            <v>0.88</v>
          </cell>
          <cell r="E221">
            <v>0.88</v>
          </cell>
          <cell r="G221">
            <v>0</v>
          </cell>
        </row>
        <row r="222">
          <cell r="A222">
            <v>219</v>
          </cell>
          <cell r="B222" t="str">
            <v>ACEROPAXI TUBERIA MECANICA REDONDA</v>
          </cell>
          <cell r="C222" t="str">
            <v>Tubo Redondo 1 1/2" x 0,90</v>
          </cell>
          <cell r="D222">
            <v>0.85</v>
          </cell>
          <cell r="E222">
            <v>0.85</v>
          </cell>
          <cell r="G222">
            <v>0</v>
          </cell>
        </row>
        <row r="223">
          <cell r="A223">
            <v>220</v>
          </cell>
          <cell r="B223" t="str">
            <v>ACEROPAXI TUBERIA MECANICA REDONDA</v>
          </cell>
          <cell r="C223" t="str">
            <v>Tubo Redondo 1 1/2" x 1,10</v>
          </cell>
          <cell r="D223">
            <v>1.04</v>
          </cell>
          <cell r="E223">
            <v>1.04</v>
          </cell>
          <cell r="G223">
            <v>0</v>
          </cell>
        </row>
        <row r="224">
          <cell r="A224">
            <v>221</v>
          </cell>
          <cell r="B224" t="str">
            <v>ACEROPAXI TUBERIA MECANICA REDONDA</v>
          </cell>
          <cell r="C224" t="str">
            <v>Tubo Redondo 1 3/4" x 0,90</v>
          </cell>
          <cell r="D224">
            <v>0.97</v>
          </cell>
          <cell r="E224">
            <v>0.97</v>
          </cell>
          <cell r="G224">
            <v>0</v>
          </cell>
        </row>
        <row r="225">
          <cell r="A225">
            <v>222</v>
          </cell>
          <cell r="B225" t="str">
            <v>ACEROPAXI TUBERIA MECANICA REDONDA</v>
          </cell>
          <cell r="C225" t="str">
            <v>Tubo Redondo 1 3/4" x 1,10</v>
          </cell>
          <cell r="D225">
            <v>1.18</v>
          </cell>
          <cell r="E225">
            <v>1.18</v>
          </cell>
          <cell r="G225">
            <v>0</v>
          </cell>
        </row>
        <row r="226">
          <cell r="A226">
            <v>223</v>
          </cell>
          <cell r="B226" t="str">
            <v>ACEROPAXI TUBERIA MECANICA REDONDA</v>
          </cell>
          <cell r="C226" t="str">
            <v>Tubo Redondo 1 7/8" x 0,90</v>
          </cell>
          <cell r="D226">
            <v>1.07</v>
          </cell>
          <cell r="E226">
            <v>1.07</v>
          </cell>
          <cell r="G226">
            <v>0</v>
          </cell>
        </row>
        <row r="227">
          <cell r="A227">
            <v>224</v>
          </cell>
          <cell r="B227" t="str">
            <v>ACEROPAXI TUBERIA MECANICA REDONDA</v>
          </cell>
          <cell r="C227" t="str">
            <v>Tubo Redondo 1 7/8" x 1,10</v>
          </cell>
          <cell r="D227">
            <v>1.3</v>
          </cell>
          <cell r="E227">
            <v>1.3</v>
          </cell>
          <cell r="G227">
            <v>0</v>
          </cell>
        </row>
        <row r="228">
          <cell r="A228">
            <v>225</v>
          </cell>
          <cell r="B228" t="str">
            <v>ACEROPAXI TUBERIA MECANICA REDONDA</v>
          </cell>
          <cell r="C228" t="str">
            <v>Tubo Redondo 2" x 0,90</v>
          </cell>
          <cell r="D228">
            <v>1.1399999999999999</v>
          </cell>
          <cell r="E228">
            <v>1.1399999999999999</v>
          </cell>
          <cell r="G228">
            <v>0</v>
          </cell>
        </row>
        <row r="229">
          <cell r="A229">
            <v>226</v>
          </cell>
          <cell r="B229" t="str">
            <v>ACEROPAXI TUBERIA MECANICA REDONDA</v>
          </cell>
          <cell r="C229" t="str">
            <v>Tubo Redondo 2" x 1,10</v>
          </cell>
          <cell r="D229">
            <v>1.39</v>
          </cell>
          <cell r="E229">
            <v>1.39</v>
          </cell>
          <cell r="G229">
            <v>0</v>
          </cell>
        </row>
        <row r="230">
          <cell r="A230">
            <v>227</v>
          </cell>
          <cell r="B230" t="str">
            <v>ACEROPAXI VARILLA CUAD</v>
          </cell>
          <cell r="C230" t="str">
            <v>Varilla Cuadrada BC 9</v>
          </cell>
          <cell r="D230">
            <v>0.64</v>
          </cell>
          <cell r="E230">
            <v>0.64</v>
          </cell>
          <cell r="G230">
            <v>0</v>
          </cell>
        </row>
        <row r="231">
          <cell r="A231">
            <v>228</v>
          </cell>
          <cell r="B231" t="str">
            <v>ACEROPAXI VARILLA CUAD</v>
          </cell>
          <cell r="C231" t="str">
            <v>Varilla Cuadrada BC 11</v>
          </cell>
          <cell r="D231">
            <v>0.95</v>
          </cell>
          <cell r="E231">
            <v>0.95</v>
          </cell>
          <cell r="G231">
            <v>0</v>
          </cell>
        </row>
        <row r="232">
          <cell r="A232">
            <v>229</v>
          </cell>
          <cell r="B232" t="str">
            <v>ACEROPAXI VARILLA CUAD</v>
          </cell>
          <cell r="C232" t="str">
            <v>Varilla Cuadrada BC 15</v>
          </cell>
          <cell r="D232">
            <v>1.77</v>
          </cell>
          <cell r="E232">
            <v>1.77</v>
          </cell>
          <cell r="G232">
            <v>0</v>
          </cell>
        </row>
        <row r="233">
          <cell r="A233">
            <v>230</v>
          </cell>
          <cell r="B233" t="str">
            <v>ACEROPAXI VARILLA CUAD</v>
          </cell>
          <cell r="C233" t="str">
            <v>Varilla Cuadrada BC 18</v>
          </cell>
          <cell r="D233">
            <v>2.54</v>
          </cell>
          <cell r="E233">
            <v>2.54</v>
          </cell>
          <cell r="G233">
            <v>0</v>
          </cell>
        </row>
        <row r="234">
          <cell r="A234">
            <v>231</v>
          </cell>
          <cell r="B234" t="str">
            <v>ACEROPAXI VARILLA CUAD</v>
          </cell>
          <cell r="C234" t="str">
            <v>Varilla Cuadrada BC 24,5</v>
          </cell>
          <cell r="D234">
            <v>4.72</v>
          </cell>
          <cell r="E234">
            <v>4.72</v>
          </cell>
          <cell r="G234">
            <v>0</v>
          </cell>
        </row>
        <row r="235">
          <cell r="A235">
            <v>232</v>
          </cell>
          <cell r="B235" t="str">
            <v>ACEROPAXI VARILLA RED</v>
          </cell>
          <cell r="C235" t="str">
            <v>Varilla Redonda BR 10</v>
          </cell>
          <cell r="D235">
            <v>0.62</v>
          </cell>
          <cell r="E235">
            <v>0.62</v>
          </cell>
          <cell r="G235">
            <v>0</v>
          </cell>
        </row>
        <row r="236">
          <cell r="A236">
            <v>233</v>
          </cell>
          <cell r="B236" t="str">
            <v>ACEROPAXI VARILLA RED</v>
          </cell>
          <cell r="C236" t="str">
            <v>Varilla Redonda BR 12</v>
          </cell>
          <cell r="D236">
            <v>0.89</v>
          </cell>
          <cell r="E236">
            <v>0.89</v>
          </cell>
          <cell r="G236">
            <v>0</v>
          </cell>
        </row>
        <row r="237">
          <cell r="A237">
            <v>234</v>
          </cell>
          <cell r="B237" t="str">
            <v>ACEROPAXI VARILLA RED</v>
          </cell>
          <cell r="C237" t="str">
            <v>Varilla Redonda BR 15</v>
          </cell>
          <cell r="D237">
            <v>1.39</v>
          </cell>
          <cell r="E237">
            <v>1.39</v>
          </cell>
          <cell r="G237">
            <v>0</v>
          </cell>
        </row>
        <row r="238">
          <cell r="A238">
            <v>235</v>
          </cell>
          <cell r="B238" t="str">
            <v>ACEROPAXI VARILLA RED</v>
          </cell>
          <cell r="C238" t="str">
            <v>Varilla Redonda BR 18</v>
          </cell>
          <cell r="D238">
            <v>2</v>
          </cell>
          <cell r="E238">
            <v>2</v>
          </cell>
          <cell r="G238">
            <v>0</v>
          </cell>
        </row>
        <row r="239">
          <cell r="A239">
            <v>236</v>
          </cell>
          <cell r="B239" t="str">
            <v>ACEROPAXI VARILLA RED</v>
          </cell>
          <cell r="C239" t="str">
            <v>Varilla Redonda BR 22</v>
          </cell>
          <cell r="D239">
            <v>2.98</v>
          </cell>
          <cell r="E239">
            <v>2.98</v>
          </cell>
          <cell r="G239">
            <v>0</v>
          </cell>
        </row>
        <row r="240">
          <cell r="A240">
            <v>237</v>
          </cell>
          <cell r="B240" t="str">
            <v>ACEROPAXI VARILLA RED</v>
          </cell>
          <cell r="C240" t="str">
            <v>Varilla Redonda BR 24.5</v>
          </cell>
          <cell r="D240">
            <v>3.7</v>
          </cell>
          <cell r="E240">
            <v>3.7</v>
          </cell>
          <cell r="G240">
            <v>0</v>
          </cell>
        </row>
        <row r="241">
          <cell r="A241">
            <v>238</v>
          </cell>
          <cell r="B241" t="str">
            <v>LAMINADOS HEA</v>
          </cell>
          <cell r="C241" t="str">
            <v>Perfiles HEA  100</v>
          </cell>
          <cell r="D241">
            <v>16.7</v>
          </cell>
          <cell r="E241">
            <v>16.7</v>
          </cell>
          <cell r="G241">
            <v>0</v>
          </cell>
        </row>
        <row r="242">
          <cell r="A242">
            <v>239</v>
          </cell>
          <cell r="B242" t="str">
            <v>LAMINADOS HEA</v>
          </cell>
          <cell r="C242" t="str">
            <v>Perfiles HEA  120</v>
          </cell>
          <cell r="D242">
            <v>19.899999999999999</v>
          </cell>
          <cell r="E242">
            <v>19.899999999999999</v>
          </cell>
          <cell r="G242">
            <v>0</v>
          </cell>
        </row>
        <row r="243">
          <cell r="A243">
            <v>240</v>
          </cell>
          <cell r="B243" t="str">
            <v>LAMINADOS HEA</v>
          </cell>
          <cell r="C243" t="str">
            <v>Perfiles HEA  140</v>
          </cell>
          <cell r="D243">
            <v>24.7</v>
          </cell>
          <cell r="E243">
            <v>24.7</v>
          </cell>
          <cell r="G243">
            <v>0</v>
          </cell>
        </row>
        <row r="244">
          <cell r="A244">
            <v>241</v>
          </cell>
          <cell r="B244" t="str">
            <v>LAMINADOS HEA</v>
          </cell>
          <cell r="C244" t="str">
            <v>Perfiles HEA  160</v>
          </cell>
          <cell r="D244">
            <v>30.4</v>
          </cell>
          <cell r="E244">
            <v>30.4</v>
          </cell>
          <cell r="G244">
            <v>0</v>
          </cell>
        </row>
        <row r="245">
          <cell r="A245">
            <v>242</v>
          </cell>
          <cell r="B245" t="str">
            <v>LAMINADOS HEA</v>
          </cell>
          <cell r="C245" t="str">
            <v>Perfiles HEA  180</v>
          </cell>
          <cell r="D245">
            <v>35.5</v>
          </cell>
          <cell r="E245">
            <v>35.5</v>
          </cell>
          <cell r="G245">
            <v>0</v>
          </cell>
        </row>
        <row r="246">
          <cell r="A246">
            <v>243</v>
          </cell>
          <cell r="B246" t="str">
            <v>LAMINADOS HEA</v>
          </cell>
          <cell r="C246" t="str">
            <v>Perfiles HEA  200</v>
          </cell>
          <cell r="D246">
            <v>42.3</v>
          </cell>
          <cell r="E246">
            <v>42.3</v>
          </cell>
          <cell r="G246">
            <v>0</v>
          </cell>
        </row>
        <row r="247">
          <cell r="A247">
            <v>244</v>
          </cell>
          <cell r="B247" t="str">
            <v>LAMINADOS HEA</v>
          </cell>
          <cell r="C247" t="str">
            <v>Perfiles HEA  220</v>
          </cell>
          <cell r="D247">
            <v>50.5</v>
          </cell>
          <cell r="E247">
            <v>50.5</v>
          </cell>
          <cell r="G247">
            <v>0</v>
          </cell>
        </row>
        <row r="248">
          <cell r="A248">
            <v>245</v>
          </cell>
          <cell r="B248" t="str">
            <v>LAMINADOS HEA</v>
          </cell>
          <cell r="C248" t="str">
            <v>Perfiles HEA  240</v>
          </cell>
          <cell r="D248">
            <v>60.3</v>
          </cell>
          <cell r="E248">
            <v>60.3</v>
          </cell>
          <cell r="G248">
            <v>0</v>
          </cell>
        </row>
        <row r="249">
          <cell r="A249">
            <v>246</v>
          </cell>
          <cell r="B249" t="str">
            <v>LAMINADOS HEA</v>
          </cell>
          <cell r="C249" t="str">
            <v>Perfiles HEA  260</v>
          </cell>
          <cell r="D249">
            <v>68.2</v>
          </cell>
          <cell r="E249">
            <v>68.2</v>
          </cell>
          <cell r="G249">
            <v>0</v>
          </cell>
        </row>
        <row r="250">
          <cell r="A250">
            <v>247</v>
          </cell>
          <cell r="B250" t="str">
            <v>LAMINADOS HEA</v>
          </cell>
          <cell r="C250" t="str">
            <v>Perfiles HEA  280</v>
          </cell>
          <cell r="D250">
            <v>76.400000000000006</v>
          </cell>
          <cell r="E250">
            <v>76.400000000000006</v>
          </cell>
          <cell r="G250">
            <v>0</v>
          </cell>
        </row>
        <row r="251">
          <cell r="A251">
            <v>248</v>
          </cell>
          <cell r="B251" t="str">
            <v>LAMINADOS HEA</v>
          </cell>
          <cell r="C251" t="str">
            <v>Perfiles HEA  300</v>
          </cell>
          <cell r="D251">
            <v>88.3</v>
          </cell>
          <cell r="E251">
            <v>88.3</v>
          </cell>
          <cell r="G251">
            <v>0</v>
          </cell>
        </row>
        <row r="252">
          <cell r="A252">
            <v>249</v>
          </cell>
          <cell r="B252" t="str">
            <v>LAMINADOS HEA</v>
          </cell>
          <cell r="C252" t="str">
            <v>Perfiles HEA  320</v>
          </cell>
          <cell r="D252">
            <v>97.6</v>
          </cell>
          <cell r="E252">
            <v>97.6</v>
          </cell>
          <cell r="G252">
            <v>0</v>
          </cell>
        </row>
        <row r="253">
          <cell r="A253">
            <v>250</v>
          </cell>
          <cell r="B253" t="str">
            <v>LAMINADOS HEA</v>
          </cell>
          <cell r="C253" t="str">
            <v>Perfiles HEA  340</v>
          </cell>
          <cell r="D253">
            <v>105</v>
          </cell>
          <cell r="E253">
            <v>105</v>
          </cell>
          <cell r="G253">
            <v>0</v>
          </cell>
        </row>
        <row r="254">
          <cell r="A254">
            <v>251</v>
          </cell>
          <cell r="B254" t="str">
            <v>LAMINADOS HEA</v>
          </cell>
          <cell r="C254" t="str">
            <v>Perfiles HEA  360</v>
          </cell>
          <cell r="D254">
            <v>112</v>
          </cell>
          <cell r="E254">
            <v>112</v>
          </cell>
          <cell r="G254">
            <v>0</v>
          </cell>
        </row>
        <row r="255">
          <cell r="A255">
            <v>252</v>
          </cell>
          <cell r="B255" t="str">
            <v>LAMINADOS HEA</v>
          </cell>
          <cell r="C255" t="str">
            <v>Perfiles HEA  400</v>
          </cell>
          <cell r="D255">
            <v>125</v>
          </cell>
          <cell r="E255">
            <v>125</v>
          </cell>
          <cell r="G255">
            <v>0</v>
          </cell>
        </row>
        <row r="256">
          <cell r="A256">
            <v>253</v>
          </cell>
          <cell r="B256" t="str">
            <v>LAMINADOS HEA</v>
          </cell>
          <cell r="C256" t="str">
            <v>Perfiles HEA  450</v>
          </cell>
          <cell r="D256">
            <v>140</v>
          </cell>
          <cell r="E256">
            <v>140</v>
          </cell>
          <cell r="G256">
            <v>0</v>
          </cell>
        </row>
        <row r="257">
          <cell r="A257">
            <v>254</v>
          </cell>
          <cell r="B257" t="str">
            <v>LAMINADOS HEA</v>
          </cell>
          <cell r="C257" t="str">
            <v>Perfiles HEA  500</v>
          </cell>
          <cell r="D257">
            <v>155</v>
          </cell>
          <cell r="E257">
            <v>155</v>
          </cell>
          <cell r="G257">
            <v>0</v>
          </cell>
        </row>
        <row r="258">
          <cell r="A258">
            <v>255</v>
          </cell>
          <cell r="B258" t="str">
            <v>LAMINADOS HEA</v>
          </cell>
          <cell r="C258" t="str">
            <v>Perfiles HEA  550</v>
          </cell>
          <cell r="D258">
            <v>166</v>
          </cell>
          <cell r="E258">
            <v>166</v>
          </cell>
          <cell r="G258">
            <v>0</v>
          </cell>
        </row>
        <row r="259">
          <cell r="A259">
            <v>256</v>
          </cell>
          <cell r="B259" t="str">
            <v>LAMINADOS HEA</v>
          </cell>
          <cell r="C259" t="str">
            <v>Perfiles HEA  600</v>
          </cell>
          <cell r="D259">
            <v>178</v>
          </cell>
          <cell r="E259">
            <v>178</v>
          </cell>
          <cell r="G259">
            <v>0</v>
          </cell>
        </row>
        <row r="260">
          <cell r="A260">
            <v>257</v>
          </cell>
          <cell r="B260" t="str">
            <v>LAMINADOS HEB</v>
          </cell>
          <cell r="C260" t="str">
            <v>Perfiles HEB 100</v>
          </cell>
          <cell r="D260">
            <v>20.399999999999999</v>
          </cell>
          <cell r="E260">
            <v>20.399999999999999</v>
          </cell>
          <cell r="G260">
            <v>0</v>
          </cell>
        </row>
        <row r="261">
          <cell r="A261">
            <v>258</v>
          </cell>
          <cell r="B261" t="str">
            <v>LAMINADOS HEB</v>
          </cell>
          <cell r="C261" t="str">
            <v>Perfiles HEB 120</v>
          </cell>
          <cell r="D261">
            <v>26.7</v>
          </cell>
          <cell r="E261">
            <v>26.7</v>
          </cell>
          <cell r="G261">
            <v>0</v>
          </cell>
        </row>
        <row r="262">
          <cell r="A262">
            <v>259</v>
          </cell>
          <cell r="B262" t="str">
            <v>LAMINADOS HEB</v>
          </cell>
          <cell r="C262" t="str">
            <v>Perfiles HEB 140</v>
          </cell>
          <cell r="D262">
            <v>33.700000000000003</v>
          </cell>
          <cell r="E262">
            <v>33.700000000000003</v>
          </cell>
          <cell r="G262">
            <v>0</v>
          </cell>
        </row>
        <row r="263">
          <cell r="A263">
            <v>260</v>
          </cell>
          <cell r="B263" t="str">
            <v>LAMINADOS HEB</v>
          </cell>
          <cell r="C263" t="str">
            <v>Perfiles HEB 160</v>
          </cell>
          <cell r="D263">
            <v>42.6</v>
          </cell>
          <cell r="E263">
            <v>42.6</v>
          </cell>
          <cell r="G263">
            <v>0</v>
          </cell>
        </row>
        <row r="264">
          <cell r="A264">
            <v>261</v>
          </cell>
          <cell r="B264" t="str">
            <v>LAMINADOS HEB</v>
          </cell>
          <cell r="C264" t="str">
            <v>Perfiles HEB 180</v>
          </cell>
          <cell r="D264">
            <v>51.2</v>
          </cell>
          <cell r="E264">
            <v>51.2</v>
          </cell>
          <cell r="G264">
            <v>0</v>
          </cell>
        </row>
        <row r="265">
          <cell r="A265">
            <v>262</v>
          </cell>
          <cell r="B265" t="str">
            <v>LAMINADOS HEB</v>
          </cell>
          <cell r="C265" t="str">
            <v>Perfiles HEB 200</v>
          </cell>
          <cell r="D265">
            <v>61.3</v>
          </cell>
          <cell r="E265">
            <v>61.3</v>
          </cell>
          <cell r="G265">
            <v>0</v>
          </cell>
        </row>
        <row r="266">
          <cell r="A266">
            <v>263</v>
          </cell>
          <cell r="B266" t="str">
            <v>LAMINADOS HEB</v>
          </cell>
          <cell r="C266" t="str">
            <v>Perfiles HEB 220</v>
          </cell>
          <cell r="D266">
            <v>71.5</v>
          </cell>
          <cell r="E266">
            <v>71.5</v>
          </cell>
          <cell r="G266">
            <v>0</v>
          </cell>
        </row>
        <row r="267">
          <cell r="A267">
            <v>264</v>
          </cell>
          <cell r="B267" t="str">
            <v>LAMINADOS HEB</v>
          </cell>
          <cell r="C267" t="str">
            <v>Perfiles HEB 240</v>
          </cell>
          <cell r="D267">
            <v>83.2</v>
          </cell>
          <cell r="E267">
            <v>83.2</v>
          </cell>
          <cell r="G267">
            <v>0</v>
          </cell>
        </row>
        <row r="268">
          <cell r="A268">
            <v>265</v>
          </cell>
          <cell r="B268" t="str">
            <v>LAMINADOS HEB</v>
          </cell>
          <cell r="C268" t="str">
            <v>Perfiles HEB 260</v>
          </cell>
          <cell r="D268">
            <v>93</v>
          </cell>
          <cell r="E268">
            <v>93</v>
          </cell>
          <cell r="G268">
            <v>0</v>
          </cell>
        </row>
        <row r="269">
          <cell r="A269">
            <v>266</v>
          </cell>
          <cell r="B269" t="str">
            <v>LAMINADOS HEB</v>
          </cell>
          <cell r="C269" t="str">
            <v>Perfiles HEB 280</v>
          </cell>
          <cell r="D269">
            <v>103</v>
          </cell>
          <cell r="E269">
            <v>103</v>
          </cell>
          <cell r="G269">
            <v>0</v>
          </cell>
        </row>
        <row r="270">
          <cell r="A270">
            <v>267</v>
          </cell>
          <cell r="B270" t="str">
            <v>LAMINADOS HEB</v>
          </cell>
          <cell r="C270" t="str">
            <v>Perfiles HEB 300</v>
          </cell>
          <cell r="D270">
            <v>117</v>
          </cell>
          <cell r="E270">
            <v>117</v>
          </cell>
          <cell r="G270">
            <v>0</v>
          </cell>
        </row>
        <row r="271">
          <cell r="A271">
            <v>268</v>
          </cell>
          <cell r="B271" t="str">
            <v>LAMINADOS HEB</v>
          </cell>
          <cell r="C271" t="str">
            <v>Perfiles HEB 320</v>
          </cell>
          <cell r="D271">
            <v>127</v>
          </cell>
          <cell r="E271">
            <v>127</v>
          </cell>
          <cell r="G271">
            <v>0</v>
          </cell>
        </row>
        <row r="272">
          <cell r="A272">
            <v>269</v>
          </cell>
          <cell r="B272" t="str">
            <v>LAMINADOS HEB</v>
          </cell>
          <cell r="C272" t="str">
            <v>Perfiles HEB 340</v>
          </cell>
          <cell r="D272">
            <v>134</v>
          </cell>
          <cell r="E272">
            <v>134</v>
          </cell>
          <cell r="G272">
            <v>0</v>
          </cell>
        </row>
        <row r="273">
          <cell r="A273">
            <v>270</v>
          </cell>
          <cell r="B273" t="str">
            <v>LAMINADOS HEB</v>
          </cell>
          <cell r="C273" t="str">
            <v>Perfiles HEB 360</v>
          </cell>
          <cell r="D273">
            <v>142</v>
          </cell>
          <cell r="E273">
            <v>142</v>
          </cell>
          <cell r="G273">
            <v>0</v>
          </cell>
        </row>
        <row r="274">
          <cell r="A274">
            <v>271</v>
          </cell>
          <cell r="B274" t="str">
            <v>LAMINADOS HEB</v>
          </cell>
          <cell r="C274" t="str">
            <v>Perfiles HEB 400</v>
          </cell>
          <cell r="D274">
            <v>155</v>
          </cell>
          <cell r="E274">
            <v>155</v>
          </cell>
          <cell r="G274">
            <v>0</v>
          </cell>
        </row>
        <row r="275">
          <cell r="A275">
            <v>272</v>
          </cell>
          <cell r="B275" t="str">
            <v>LAMINADOS HEB</v>
          </cell>
          <cell r="C275" t="str">
            <v>Perfiles HEB 450</v>
          </cell>
          <cell r="D275">
            <v>171</v>
          </cell>
          <cell r="E275">
            <v>171</v>
          </cell>
          <cell r="G275">
            <v>0</v>
          </cell>
        </row>
        <row r="276">
          <cell r="A276">
            <v>273</v>
          </cell>
          <cell r="B276" t="str">
            <v>LAMINADOS HEB</v>
          </cell>
          <cell r="C276" t="str">
            <v>Perfiles HEB 500</v>
          </cell>
          <cell r="D276">
            <v>187</v>
          </cell>
          <cell r="E276">
            <v>187</v>
          </cell>
          <cell r="G276">
            <v>0</v>
          </cell>
        </row>
        <row r="277">
          <cell r="A277">
            <v>274</v>
          </cell>
          <cell r="B277" t="str">
            <v>LAMINADOS HEB</v>
          </cell>
          <cell r="C277" t="str">
            <v>Perfiles HEB 550</v>
          </cell>
          <cell r="D277">
            <v>199</v>
          </cell>
          <cell r="E277">
            <v>199</v>
          </cell>
          <cell r="G277">
            <v>0</v>
          </cell>
        </row>
        <row r="278">
          <cell r="A278">
            <v>275</v>
          </cell>
          <cell r="B278" t="str">
            <v>LAMINADOS HEB</v>
          </cell>
          <cell r="C278" t="str">
            <v>Perfiles HEB 600</v>
          </cell>
          <cell r="D278">
            <v>212</v>
          </cell>
          <cell r="E278">
            <v>212</v>
          </cell>
          <cell r="G278">
            <v>0</v>
          </cell>
        </row>
        <row r="279">
          <cell r="A279">
            <v>276</v>
          </cell>
          <cell r="B279" t="str">
            <v>LAMINADOS IPE</v>
          </cell>
          <cell r="C279" t="str">
            <v>Perfiles IPE 80</v>
          </cell>
          <cell r="D279">
            <v>6</v>
          </cell>
          <cell r="E279">
            <v>6</v>
          </cell>
          <cell r="G279">
            <v>0</v>
          </cell>
        </row>
        <row r="280">
          <cell r="A280">
            <v>277</v>
          </cell>
          <cell r="B280" t="str">
            <v>LAMINADOS IPE</v>
          </cell>
          <cell r="C280" t="str">
            <v>Perfiles IPE 100</v>
          </cell>
          <cell r="D280">
            <v>8.1</v>
          </cell>
          <cell r="E280">
            <v>8.1</v>
          </cell>
          <cell r="G280">
            <v>0</v>
          </cell>
        </row>
        <row r="281">
          <cell r="A281">
            <v>278</v>
          </cell>
          <cell r="B281" t="str">
            <v>LAMINADOS IPE</v>
          </cell>
          <cell r="C281" t="str">
            <v>Perfiles IPE 120</v>
          </cell>
          <cell r="D281">
            <v>10.4</v>
          </cell>
          <cell r="E281">
            <v>10.4</v>
          </cell>
          <cell r="G281">
            <v>0</v>
          </cell>
        </row>
        <row r="282">
          <cell r="A282">
            <v>279</v>
          </cell>
          <cell r="B282" t="str">
            <v>LAMINADOS IPE</v>
          </cell>
          <cell r="C282" t="str">
            <v>Perfiles IPE 140</v>
          </cell>
          <cell r="D282">
            <v>12.9</v>
          </cell>
          <cell r="E282">
            <v>12.9</v>
          </cell>
          <cell r="G282">
            <v>0</v>
          </cell>
        </row>
        <row r="283">
          <cell r="A283">
            <v>280</v>
          </cell>
          <cell r="B283" t="str">
            <v>LAMINADOS IPE</v>
          </cell>
          <cell r="C283" t="str">
            <v>Perfiles IPE 160</v>
          </cell>
          <cell r="D283">
            <v>15.8</v>
          </cell>
          <cell r="E283">
            <v>15.8</v>
          </cell>
          <cell r="G283">
            <v>0</v>
          </cell>
        </row>
        <row r="284">
          <cell r="A284">
            <v>281</v>
          </cell>
          <cell r="B284" t="str">
            <v>LAMINADOS IPE</v>
          </cell>
          <cell r="C284" t="str">
            <v>Perfiles IPE 180</v>
          </cell>
          <cell r="D284">
            <v>18.8</v>
          </cell>
          <cell r="E284">
            <v>18.8</v>
          </cell>
          <cell r="G284">
            <v>0</v>
          </cell>
        </row>
        <row r="285">
          <cell r="A285">
            <v>282</v>
          </cell>
          <cell r="B285" t="str">
            <v>LAMINADOS IPE</v>
          </cell>
          <cell r="C285" t="str">
            <v>Perfiles IPE 200</v>
          </cell>
          <cell r="D285">
            <v>22.4</v>
          </cell>
          <cell r="E285">
            <v>22.4</v>
          </cell>
          <cell r="G285">
            <v>0</v>
          </cell>
        </row>
        <row r="286">
          <cell r="A286">
            <v>283</v>
          </cell>
          <cell r="B286" t="str">
            <v>LAMINADOS IPE</v>
          </cell>
          <cell r="C286" t="str">
            <v>Perfiles IPE 220</v>
          </cell>
          <cell r="D286">
            <v>26.2</v>
          </cell>
          <cell r="E286">
            <v>26.2</v>
          </cell>
          <cell r="G286">
            <v>0</v>
          </cell>
        </row>
        <row r="287">
          <cell r="A287">
            <v>284</v>
          </cell>
          <cell r="B287" t="str">
            <v>LAMINADOS IPE</v>
          </cell>
          <cell r="C287" t="str">
            <v>Perfiles IPE 240</v>
          </cell>
          <cell r="D287">
            <v>30.7</v>
          </cell>
          <cell r="E287">
            <v>30.7</v>
          </cell>
          <cell r="G287">
            <v>0</v>
          </cell>
        </row>
        <row r="288">
          <cell r="A288">
            <v>285</v>
          </cell>
          <cell r="B288" t="str">
            <v>LAMINADOS IPE</v>
          </cell>
          <cell r="C288" t="str">
            <v>Perfiles IPE 270</v>
          </cell>
          <cell r="D288">
            <v>36.1</v>
          </cell>
          <cell r="E288">
            <v>36.1</v>
          </cell>
          <cell r="G288">
            <v>0</v>
          </cell>
        </row>
        <row r="289">
          <cell r="A289">
            <v>286</v>
          </cell>
          <cell r="B289" t="str">
            <v>LAMINADOS IPE</v>
          </cell>
          <cell r="C289" t="str">
            <v>Perfiles IPE 300</v>
          </cell>
          <cell r="D289">
            <v>42.2</v>
          </cell>
          <cell r="E289">
            <v>42.2</v>
          </cell>
          <cell r="G289">
            <v>0</v>
          </cell>
        </row>
        <row r="290">
          <cell r="A290">
            <v>287</v>
          </cell>
          <cell r="B290" t="str">
            <v>LAMINADOS IPE</v>
          </cell>
          <cell r="C290" t="str">
            <v>Perfiles IPE 330</v>
          </cell>
          <cell r="D290">
            <v>49.1</v>
          </cell>
          <cell r="E290">
            <v>49.1</v>
          </cell>
          <cell r="G290">
            <v>0</v>
          </cell>
        </row>
        <row r="291">
          <cell r="A291">
            <v>288</v>
          </cell>
          <cell r="B291" t="str">
            <v>LAMINADOS IPE</v>
          </cell>
          <cell r="C291" t="str">
            <v>Perfiles IPE 360</v>
          </cell>
          <cell r="D291">
            <v>57.1</v>
          </cell>
          <cell r="E291">
            <v>57.1</v>
          </cell>
          <cell r="G291">
            <v>0</v>
          </cell>
        </row>
        <row r="292">
          <cell r="A292">
            <v>289</v>
          </cell>
          <cell r="B292" t="str">
            <v>LAMINADOS IPE</v>
          </cell>
          <cell r="C292" t="str">
            <v>Perfiles IPE 400</v>
          </cell>
          <cell r="D292">
            <v>66.3</v>
          </cell>
          <cell r="E292">
            <v>66.3</v>
          </cell>
          <cell r="G292">
            <v>0</v>
          </cell>
        </row>
        <row r="293">
          <cell r="A293">
            <v>290</v>
          </cell>
          <cell r="B293" t="str">
            <v>LAMINADOS IPE</v>
          </cell>
          <cell r="C293" t="str">
            <v>Perfiles IPE 450</v>
          </cell>
          <cell r="D293">
            <v>77.599999999999994</v>
          </cell>
          <cell r="E293">
            <v>77.599999999999994</v>
          </cell>
          <cell r="G293">
            <v>0</v>
          </cell>
        </row>
        <row r="294">
          <cell r="A294">
            <v>291</v>
          </cell>
          <cell r="B294" t="str">
            <v>LAMINADOS IPE</v>
          </cell>
          <cell r="C294" t="str">
            <v>Perfiles IPE 500</v>
          </cell>
          <cell r="D294">
            <v>90.7</v>
          </cell>
          <cell r="E294">
            <v>90.7</v>
          </cell>
          <cell r="G294">
            <v>0</v>
          </cell>
        </row>
        <row r="295">
          <cell r="A295">
            <v>292</v>
          </cell>
          <cell r="B295" t="str">
            <v>LAMINADOS IPE</v>
          </cell>
          <cell r="C295" t="str">
            <v>Perfiles IPE 550</v>
          </cell>
          <cell r="D295">
            <v>106</v>
          </cell>
          <cell r="E295">
            <v>106</v>
          </cell>
          <cell r="G295">
            <v>0</v>
          </cell>
        </row>
        <row r="296">
          <cell r="A296">
            <v>293</v>
          </cell>
          <cell r="B296" t="str">
            <v>LAMINADOS IPE</v>
          </cell>
          <cell r="C296" t="str">
            <v>Perfiles IPE 600</v>
          </cell>
          <cell r="D296">
            <v>122</v>
          </cell>
          <cell r="E296">
            <v>122</v>
          </cell>
          <cell r="G296">
            <v>0</v>
          </cell>
        </row>
        <row r="297">
          <cell r="A297">
            <v>294</v>
          </cell>
          <cell r="B297" t="str">
            <v>LAMINADOS IPN</v>
          </cell>
          <cell r="C297" t="str">
            <v>Perfiles IPN 80</v>
          </cell>
          <cell r="D297">
            <v>5.95</v>
          </cell>
          <cell r="E297">
            <v>5.95</v>
          </cell>
          <cell r="G297">
            <v>0</v>
          </cell>
        </row>
        <row r="298">
          <cell r="A298">
            <v>295</v>
          </cell>
          <cell r="B298" t="str">
            <v>LAMINADOS IPN</v>
          </cell>
          <cell r="C298" t="str">
            <v>Perfiles IPN 100</v>
          </cell>
          <cell r="D298">
            <v>8.32</v>
          </cell>
          <cell r="E298">
            <v>8.32</v>
          </cell>
          <cell r="G298">
            <v>0</v>
          </cell>
        </row>
        <row r="299">
          <cell r="A299">
            <v>296</v>
          </cell>
          <cell r="B299" t="str">
            <v>LAMINADOS IPN</v>
          </cell>
          <cell r="C299" t="str">
            <v>Perfiles IPN 120</v>
          </cell>
          <cell r="D299">
            <v>11.2</v>
          </cell>
          <cell r="E299">
            <v>11.2</v>
          </cell>
          <cell r="G299">
            <v>0</v>
          </cell>
        </row>
        <row r="300">
          <cell r="A300">
            <v>297</v>
          </cell>
          <cell r="B300" t="str">
            <v>LAMINADOS IPN</v>
          </cell>
          <cell r="C300" t="str">
            <v>Perfiles IPN 140</v>
          </cell>
          <cell r="D300">
            <v>14.4</v>
          </cell>
          <cell r="E300">
            <v>14.4</v>
          </cell>
          <cell r="G300">
            <v>0</v>
          </cell>
        </row>
        <row r="301">
          <cell r="A301">
            <v>298</v>
          </cell>
          <cell r="B301" t="str">
            <v>LAMINADOS IPN</v>
          </cell>
          <cell r="C301" t="str">
            <v>Perfiles IPN 160</v>
          </cell>
          <cell r="D301">
            <v>17.899999999999999</v>
          </cell>
          <cell r="E301">
            <v>17.899999999999999</v>
          </cell>
          <cell r="G301">
            <v>0</v>
          </cell>
        </row>
        <row r="302">
          <cell r="A302">
            <v>299</v>
          </cell>
          <cell r="B302" t="str">
            <v>LAMINADOS IPN</v>
          </cell>
          <cell r="C302" t="str">
            <v>Perfiles IPN 180</v>
          </cell>
          <cell r="D302">
            <v>21.9</v>
          </cell>
          <cell r="E302">
            <v>21.9</v>
          </cell>
          <cell r="G302">
            <v>0</v>
          </cell>
        </row>
        <row r="303">
          <cell r="A303">
            <v>300</v>
          </cell>
          <cell r="B303" t="str">
            <v>LAMINADOS IPN</v>
          </cell>
          <cell r="C303" t="str">
            <v>Perfiles IPN 200</v>
          </cell>
          <cell r="D303">
            <v>26.3</v>
          </cell>
          <cell r="E303">
            <v>26.3</v>
          </cell>
          <cell r="G303">
            <v>0</v>
          </cell>
        </row>
        <row r="304">
          <cell r="A304">
            <v>301</v>
          </cell>
          <cell r="B304" t="str">
            <v>LAMINADOS IPN</v>
          </cell>
          <cell r="C304" t="str">
            <v>Perfiles IPN 220</v>
          </cell>
          <cell r="D304">
            <v>31.1</v>
          </cell>
          <cell r="E304">
            <v>31.1</v>
          </cell>
          <cell r="G304">
            <v>0</v>
          </cell>
        </row>
        <row r="305">
          <cell r="A305">
            <v>302</v>
          </cell>
          <cell r="B305" t="str">
            <v>LAMINADOS IPN</v>
          </cell>
          <cell r="C305" t="str">
            <v>Perfiles IPN 240</v>
          </cell>
          <cell r="D305">
            <v>36.200000000000003</v>
          </cell>
          <cell r="E305">
            <v>36.200000000000003</v>
          </cell>
          <cell r="G305">
            <v>0</v>
          </cell>
        </row>
        <row r="306">
          <cell r="A306">
            <v>303</v>
          </cell>
          <cell r="B306" t="str">
            <v>LAMINADOS IPN</v>
          </cell>
          <cell r="C306" t="str">
            <v>Perfiles IPN 260</v>
          </cell>
          <cell r="D306">
            <v>41.9</v>
          </cell>
          <cell r="E306">
            <v>41.9</v>
          </cell>
          <cell r="G306">
            <v>0</v>
          </cell>
        </row>
        <row r="307">
          <cell r="A307">
            <v>304</v>
          </cell>
          <cell r="B307" t="str">
            <v>LAMINADOS IPN</v>
          </cell>
          <cell r="C307" t="str">
            <v>Perfiles IPN 280</v>
          </cell>
          <cell r="D307">
            <v>48</v>
          </cell>
          <cell r="E307">
            <v>48</v>
          </cell>
          <cell r="G307">
            <v>0</v>
          </cell>
        </row>
        <row r="308">
          <cell r="A308">
            <v>305</v>
          </cell>
          <cell r="B308" t="str">
            <v>LAMINADOS IPN</v>
          </cell>
          <cell r="C308" t="str">
            <v>Perfiles IPN 300</v>
          </cell>
          <cell r="D308">
            <v>54.2</v>
          </cell>
          <cell r="E308">
            <v>54.2</v>
          </cell>
          <cell r="G308">
            <v>0</v>
          </cell>
        </row>
        <row r="309">
          <cell r="A309">
            <v>306</v>
          </cell>
          <cell r="B309" t="str">
            <v>LAMINADOS IPN</v>
          </cell>
          <cell r="C309" t="str">
            <v>Perfiles IPN 320</v>
          </cell>
          <cell r="D309">
            <v>61.1</v>
          </cell>
          <cell r="E309">
            <v>61.1</v>
          </cell>
          <cell r="G309">
            <v>0</v>
          </cell>
        </row>
        <row r="310">
          <cell r="A310">
            <v>307</v>
          </cell>
          <cell r="B310" t="str">
            <v>LAMINADOS IPN</v>
          </cell>
          <cell r="C310" t="str">
            <v>Perfiles IPN 340</v>
          </cell>
          <cell r="D310">
            <v>68.099999999999994</v>
          </cell>
          <cell r="E310">
            <v>68.099999999999994</v>
          </cell>
          <cell r="G310">
            <v>0</v>
          </cell>
        </row>
        <row r="311">
          <cell r="A311">
            <v>308</v>
          </cell>
          <cell r="B311" t="str">
            <v>LAMINADOS IPN</v>
          </cell>
          <cell r="C311" t="str">
            <v>Perfiles IPN 360</v>
          </cell>
          <cell r="D311">
            <v>76.2</v>
          </cell>
          <cell r="E311">
            <v>76.2</v>
          </cell>
          <cell r="G311">
            <v>0</v>
          </cell>
        </row>
        <row r="312">
          <cell r="A312">
            <v>309</v>
          </cell>
          <cell r="B312" t="str">
            <v>LAMINADOS IPN</v>
          </cell>
          <cell r="C312" t="str">
            <v>Perfiles IPN 380</v>
          </cell>
          <cell r="D312">
            <v>84</v>
          </cell>
          <cell r="E312">
            <v>84</v>
          </cell>
          <cell r="G312">
            <v>0</v>
          </cell>
        </row>
        <row r="313">
          <cell r="A313">
            <v>310</v>
          </cell>
          <cell r="B313" t="str">
            <v>LAMINADOS IPN</v>
          </cell>
          <cell r="C313" t="str">
            <v>Perfiles IPN 400</v>
          </cell>
          <cell r="D313">
            <v>92.6</v>
          </cell>
          <cell r="E313">
            <v>92.6</v>
          </cell>
          <cell r="G313">
            <v>0</v>
          </cell>
        </row>
        <row r="314">
          <cell r="A314">
            <v>311</v>
          </cell>
          <cell r="B314" t="str">
            <v>LAMINADOS IPN</v>
          </cell>
          <cell r="C314" t="str">
            <v>Perfiles IPN 450</v>
          </cell>
          <cell r="D314">
            <v>115</v>
          </cell>
          <cell r="E314">
            <v>115</v>
          </cell>
          <cell r="G314">
            <v>0</v>
          </cell>
        </row>
        <row r="315">
          <cell r="A315">
            <v>312</v>
          </cell>
          <cell r="B315" t="str">
            <v>LAMINADOS IPN</v>
          </cell>
          <cell r="C315" t="str">
            <v>Perfiles IPN 500</v>
          </cell>
          <cell r="D315">
            <v>141</v>
          </cell>
          <cell r="E315">
            <v>141</v>
          </cell>
          <cell r="G315">
            <v>0</v>
          </cell>
        </row>
        <row r="316">
          <cell r="A316">
            <v>313</v>
          </cell>
          <cell r="B316" t="str">
            <v>LAMINADOS IPN</v>
          </cell>
          <cell r="C316" t="str">
            <v>Perfiles IPN 550</v>
          </cell>
          <cell r="D316">
            <v>167</v>
          </cell>
          <cell r="E316">
            <v>167</v>
          </cell>
          <cell r="G316">
            <v>0</v>
          </cell>
        </row>
        <row r="317">
          <cell r="A317">
            <v>314</v>
          </cell>
          <cell r="B317" t="str">
            <v>LAMINADOS IPN</v>
          </cell>
          <cell r="C317" t="str">
            <v>Perfiles IPN 600</v>
          </cell>
          <cell r="D317">
            <v>199</v>
          </cell>
          <cell r="E317">
            <v>199</v>
          </cell>
          <cell r="G317">
            <v>0</v>
          </cell>
        </row>
        <row r="318">
          <cell r="A318">
            <v>315</v>
          </cell>
          <cell r="B318" t="str">
            <v>LAMINADOS L</v>
          </cell>
          <cell r="C318" t="str">
            <v>Angulos L 40 x 40 x 4</v>
          </cell>
          <cell r="D318">
            <v>2.42</v>
          </cell>
          <cell r="E318">
            <v>2.42</v>
          </cell>
          <cell r="G318">
            <v>0</v>
          </cell>
        </row>
        <row r="319">
          <cell r="A319">
            <v>316</v>
          </cell>
          <cell r="B319" t="str">
            <v>LAMINADOS L</v>
          </cell>
          <cell r="C319" t="str">
            <v>Angulos L 40 x 40 x 5</v>
          </cell>
          <cell r="D319">
            <v>2.97</v>
          </cell>
          <cell r="E319">
            <v>2.97</v>
          </cell>
          <cell r="G319">
            <v>0</v>
          </cell>
        </row>
        <row r="320">
          <cell r="A320">
            <v>317</v>
          </cell>
          <cell r="B320" t="str">
            <v>LAMINADOS L</v>
          </cell>
          <cell r="C320" t="str">
            <v>Angulos L 40 x 40 x 6</v>
          </cell>
          <cell r="D320">
            <v>3.52</v>
          </cell>
          <cell r="E320">
            <v>3.52</v>
          </cell>
          <cell r="G320">
            <v>0</v>
          </cell>
        </row>
        <row r="321">
          <cell r="A321">
            <v>318</v>
          </cell>
          <cell r="B321" t="str">
            <v>LAMINADOS L</v>
          </cell>
          <cell r="C321" t="str">
            <v>Angulos L 45 x 45 x 4</v>
          </cell>
          <cell r="D321">
            <v>2.74</v>
          </cell>
          <cell r="E321">
            <v>2.74</v>
          </cell>
          <cell r="G321">
            <v>0</v>
          </cell>
        </row>
        <row r="322">
          <cell r="A322">
            <v>319</v>
          </cell>
          <cell r="B322" t="str">
            <v>LAMINADOS L</v>
          </cell>
          <cell r="C322" t="str">
            <v>Angulos L 45 x 45 x 5</v>
          </cell>
          <cell r="D322">
            <v>3.38</v>
          </cell>
          <cell r="E322">
            <v>3.38</v>
          </cell>
          <cell r="G322">
            <v>0</v>
          </cell>
        </row>
        <row r="323">
          <cell r="A323">
            <v>320</v>
          </cell>
          <cell r="B323" t="str">
            <v>LAMINADOS L</v>
          </cell>
          <cell r="C323" t="str">
            <v>Angulos L 45 x 45 x 6</v>
          </cell>
          <cell r="D323">
            <v>4</v>
          </cell>
          <cell r="E323">
            <v>4</v>
          </cell>
          <cell r="G323">
            <v>0</v>
          </cell>
        </row>
        <row r="324">
          <cell r="A324">
            <v>321</v>
          </cell>
          <cell r="B324" t="str">
            <v>LAMINADOS L</v>
          </cell>
          <cell r="C324" t="str">
            <v>Angulos L 50 x 50 x 4</v>
          </cell>
          <cell r="D324">
            <v>3.06</v>
          </cell>
          <cell r="E324">
            <v>3.06</v>
          </cell>
          <cell r="G324">
            <v>0</v>
          </cell>
        </row>
        <row r="325">
          <cell r="A325">
            <v>322</v>
          </cell>
          <cell r="B325" t="str">
            <v>LAMINADOS L</v>
          </cell>
          <cell r="C325" t="str">
            <v>Angulos L 50 x 50 x 5</v>
          </cell>
          <cell r="D325">
            <v>3.77</v>
          </cell>
          <cell r="E325">
            <v>3.77</v>
          </cell>
          <cell r="G325">
            <v>0</v>
          </cell>
        </row>
        <row r="326">
          <cell r="A326">
            <v>323</v>
          </cell>
          <cell r="B326" t="str">
            <v>LAMINADOS L</v>
          </cell>
          <cell r="C326" t="str">
            <v>Angulos L 50 x 50 x 6</v>
          </cell>
          <cell r="D326">
            <v>4.47</v>
          </cell>
          <cell r="E326">
            <v>4.47</v>
          </cell>
          <cell r="G326">
            <v>0</v>
          </cell>
        </row>
        <row r="327">
          <cell r="A327">
            <v>324</v>
          </cell>
          <cell r="B327" t="str">
            <v>LAMINADOS L</v>
          </cell>
          <cell r="C327" t="str">
            <v>Angulos L 50 x 50 x 7</v>
          </cell>
          <cell r="D327">
            <v>5.15</v>
          </cell>
          <cell r="E327">
            <v>5.15</v>
          </cell>
          <cell r="G327">
            <v>0</v>
          </cell>
        </row>
        <row r="328">
          <cell r="A328">
            <v>325</v>
          </cell>
          <cell r="B328" t="str">
            <v>LAMINADOS L</v>
          </cell>
          <cell r="C328" t="str">
            <v>Angulos L 50 x 50 x 8</v>
          </cell>
          <cell r="D328">
            <v>5.82</v>
          </cell>
          <cell r="E328">
            <v>5.82</v>
          </cell>
          <cell r="G328">
            <v>0</v>
          </cell>
        </row>
        <row r="329">
          <cell r="A329">
            <v>326</v>
          </cell>
          <cell r="B329" t="str">
            <v>LAMINADOS L</v>
          </cell>
          <cell r="C329" t="str">
            <v>Angulos L 60 x 60 x 5</v>
          </cell>
          <cell r="D329">
            <v>4.57</v>
          </cell>
          <cell r="E329">
            <v>4.57</v>
          </cell>
          <cell r="G329">
            <v>0</v>
          </cell>
        </row>
        <row r="330">
          <cell r="A330">
            <v>327</v>
          </cell>
          <cell r="B330" t="str">
            <v>LAMINADOS L</v>
          </cell>
          <cell r="C330" t="str">
            <v>Angulos  L 60 x 60 x 6</v>
          </cell>
          <cell r="D330">
            <v>5.42</v>
          </cell>
          <cell r="E330">
            <v>5.42</v>
          </cell>
          <cell r="G330">
            <v>0</v>
          </cell>
        </row>
        <row r="331">
          <cell r="A331">
            <v>328</v>
          </cell>
          <cell r="B331" t="str">
            <v>LAMINADOS L</v>
          </cell>
          <cell r="C331" t="str">
            <v>Angulos L 60 x 60 x 8</v>
          </cell>
          <cell r="D331">
            <v>7.09</v>
          </cell>
          <cell r="E331">
            <v>7.09</v>
          </cell>
          <cell r="G331">
            <v>0</v>
          </cell>
        </row>
        <row r="332">
          <cell r="A332">
            <v>329</v>
          </cell>
          <cell r="B332" t="str">
            <v>LAMINADOS L</v>
          </cell>
          <cell r="C332" t="str">
            <v>Angulos L 60 x 60 x 10</v>
          </cell>
          <cell r="D332">
            <v>8.69</v>
          </cell>
          <cell r="E332">
            <v>8.69</v>
          </cell>
          <cell r="G332">
            <v>0</v>
          </cell>
        </row>
        <row r="333">
          <cell r="A333">
            <v>330</v>
          </cell>
          <cell r="B333" t="str">
            <v>LAMINADOS L</v>
          </cell>
          <cell r="C333" t="str">
            <v>Angulos L 70 x 70 x 6</v>
          </cell>
          <cell r="D333">
            <v>6.38</v>
          </cell>
          <cell r="E333">
            <v>6.38</v>
          </cell>
          <cell r="G333">
            <v>0</v>
          </cell>
        </row>
        <row r="334">
          <cell r="A334">
            <v>331</v>
          </cell>
          <cell r="B334" t="str">
            <v>LAMINADOS L</v>
          </cell>
          <cell r="C334" t="str">
            <v>Angulos L 70 x 70 x 7</v>
          </cell>
          <cell r="D334">
            <v>7.38</v>
          </cell>
          <cell r="E334">
            <v>7.38</v>
          </cell>
          <cell r="G334">
            <v>0</v>
          </cell>
        </row>
        <row r="335">
          <cell r="A335">
            <v>332</v>
          </cell>
          <cell r="B335" t="str">
            <v>LAMINADOS L</v>
          </cell>
          <cell r="C335" t="str">
            <v>Angulos L 70 x 70 x 8</v>
          </cell>
          <cell r="D335">
            <v>8.36</v>
          </cell>
          <cell r="E335">
            <v>8.36</v>
          </cell>
          <cell r="G335">
            <v>0</v>
          </cell>
        </row>
        <row r="336">
          <cell r="A336">
            <v>333</v>
          </cell>
          <cell r="B336" t="str">
            <v>LAMINADOS L</v>
          </cell>
          <cell r="C336" t="str">
            <v>Angulos L 70 x 70 x 10</v>
          </cell>
          <cell r="D336">
            <v>10.3</v>
          </cell>
          <cell r="E336">
            <v>10.3</v>
          </cell>
          <cell r="G336">
            <v>0</v>
          </cell>
        </row>
        <row r="337">
          <cell r="A337">
            <v>334</v>
          </cell>
          <cell r="B337" t="str">
            <v>LAMINADOS L</v>
          </cell>
          <cell r="C337" t="str">
            <v>Angulos L 80 x 80 x 8</v>
          </cell>
          <cell r="D337">
            <v>9.6300000000000008</v>
          </cell>
          <cell r="E337">
            <v>9.6300000000000008</v>
          </cell>
          <cell r="G337">
            <v>0</v>
          </cell>
        </row>
        <row r="338">
          <cell r="A338">
            <v>335</v>
          </cell>
          <cell r="B338" t="str">
            <v>LAMINADOS L</v>
          </cell>
          <cell r="C338" t="str">
            <v>Angulos L 80 x 80 x 10</v>
          </cell>
          <cell r="D338">
            <v>11.9</v>
          </cell>
          <cell r="E338">
            <v>11.9</v>
          </cell>
          <cell r="G338">
            <v>0</v>
          </cell>
        </row>
        <row r="339">
          <cell r="A339">
            <v>336</v>
          </cell>
          <cell r="B339" t="str">
            <v>LAMINADOS L</v>
          </cell>
          <cell r="C339" t="str">
            <v>Angulos L 80 x 80 x 12</v>
          </cell>
          <cell r="D339">
            <v>14</v>
          </cell>
          <cell r="E339">
            <v>14</v>
          </cell>
          <cell r="G339">
            <v>0</v>
          </cell>
        </row>
        <row r="340">
          <cell r="A340">
            <v>337</v>
          </cell>
          <cell r="B340" t="str">
            <v>LAMINADOS L</v>
          </cell>
          <cell r="C340" t="str">
            <v>Angulos L 90 x 90 x 8</v>
          </cell>
          <cell r="D340">
            <v>10.9</v>
          </cell>
          <cell r="E340">
            <v>10.9</v>
          </cell>
          <cell r="G340">
            <v>0</v>
          </cell>
        </row>
        <row r="341">
          <cell r="A341">
            <v>338</v>
          </cell>
          <cell r="B341" t="str">
            <v>LAMINADOS L</v>
          </cell>
          <cell r="C341" t="str">
            <v>Angulos L 90 x 90 x 10</v>
          </cell>
          <cell r="D341">
            <v>13.4</v>
          </cell>
          <cell r="E341">
            <v>13.4</v>
          </cell>
          <cell r="G341">
            <v>0</v>
          </cell>
        </row>
        <row r="342">
          <cell r="A342">
            <v>339</v>
          </cell>
          <cell r="B342" t="str">
            <v>LAMINADOS L</v>
          </cell>
          <cell r="C342" t="str">
            <v>Angulos L 90 x 90 x 12</v>
          </cell>
          <cell r="D342">
            <v>15.9</v>
          </cell>
          <cell r="E342">
            <v>15.9</v>
          </cell>
          <cell r="G342">
            <v>0</v>
          </cell>
        </row>
        <row r="343">
          <cell r="A343">
            <v>340</v>
          </cell>
          <cell r="B343" t="str">
            <v>LAMINADOS L</v>
          </cell>
          <cell r="C343" t="str">
            <v>Angulos L 100 x 100 x 8</v>
          </cell>
          <cell r="D343">
            <v>12.5</v>
          </cell>
          <cell r="E343">
            <v>12.5</v>
          </cell>
          <cell r="G343">
            <v>0</v>
          </cell>
        </row>
        <row r="344">
          <cell r="A344">
            <v>341</v>
          </cell>
          <cell r="B344" t="str">
            <v>LAMINADOS L</v>
          </cell>
          <cell r="C344" t="str">
            <v>Angulos L 100 x 100 x 10</v>
          </cell>
          <cell r="D344">
            <v>15</v>
          </cell>
          <cell r="E344">
            <v>15</v>
          </cell>
          <cell r="G344">
            <v>0</v>
          </cell>
        </row>
        <row r="345">
          <cell r="A345">
            <v>342</v>
          </cell>
          <cell r="B345" t="str">
            <v>LAMINADOS L</v>
          </cell>
          <cell r="C345" t="str">
            <v>Angulos L 100 x 100 x 12</v>
          </cell>
          <cell r="D345">
            <v>17.8</v>
          </cell>
          <cell r="E345">
            <v>17.8</v>
          </cell>
          <cell r="G345">
            <v>0</v>
          </cell>
        </row>
        <row r="346">
          <cell r="A346">
            <v>343</v>
          </cell>
          <cell r="B346" t="str">
            <v>LAMINADOS L</v>
          </cell>
          <cell r="C346" t="str">
            <v>Angulos L 100 x 100 x 15</v>
          </cell>
          <cell r="D346">
            <v>21.9</v>
          </cell>
          <cell r="E346">
            <v>21.9</v>
          </cell>
          <cell r="G346">
            <v>0</v>
          </cell>
        </row>
        <row r="347">
          <cell r="A347">
            <v>344</v>
          </cell>
          <cell r="B347" t="str">
            <v>LAMINADOS L</v>
          </cell>
          <cell r="C347" t="str">
            <v>Angulos L 120 x 120 x 10</v>
          </cell>
          <cell r="D347">
            <v>18.2</v>
          </cell>
          <cell r="E347">
            <v>18.2</v>
          </cell>
          <cell r="G347">
            <v>0</v>
          </cell>
        </row>
        <row r="348">
          <cell r="A348">
            <v>345</v>
          </cell>
          <cell r="B348" t="str">
            <v>LAMINADOS L</v>
          </cell>
          <cell r="C348" t="str">
            <v>Angulos L 120 x 120 x 12</v>
          </cell>
          <cell r="D348">
            <v>21.6</v>
          </cell>
          <cell r="E348">
            <v>21.6</v>
          </cell>
          <cell r="G348">
            <v>0</v>
          </cell>
        </row>
        <row r="349">
          <cell r="A349">
            <v>346</v>
          </cell>
          <cell r="B349" t="str">
            <v>LAMINADOS L</v>
          </cell>
          <cell r="C349" t="str">
            <v>Angulos L 120 x 120 x 15</v>
          </cell>
          <cell r="D349">
            <v>26.6</v>
          </cell>
          <cell r="E349">
            <v>26.6</v>
          </cell>
          <cell r="G349">
            <v>0</v>
          </cell>
        </row>
        <row r="350">
          <cell r="A350">
            <v>347</v>
          </cell>
          <cell r="B350" t="str">
            <v>LAMINADOS L</v>
          </cell>
          <cell r="C350" t="str">
            <v xml:space="preserve">Angulos L 150 x 150 x 12 </v>
          </cell>
          <cell r="D350">
            <v>27.3</v>
          </cell>
          <cell r="E350">
            <v>27.3</v>
          </cell>
          <cell r="G350">
            <v>0</v>
          </cell>
        </row>
        <row r="351">
          <cell r="A351">
            <v>348</v>
          </cell>
          <cell r="B351" t="str">
            <v>LAMINADOS L</v>
          </cell>
          <cell r="C351" t="str">
            <v>Angulos L 150 x 150 x 15</v>
          </cell>
          <cell r="D351">
            <v>33.799999999999997</v>
          </cell>
          <cell r="E351">
            <v>33.799999999999997</v>
          </cell>
          <cell r="G351">
            <v>0</v>
          </cell>
        </row>
        <row r="352">
          <cell r="A352">
            <v>349</v>
          </cell>
          <cell r="B352" t="str">
            <v>LAMINADOS L</v>
          </cell>
          <cell r="C352" t="str">
            <v>Angulos L 150 x 150 x 18</v>
          </cell>
          <cell r="D352">
            <v>40.1</v>
          </cell>
          <cell r="E352">
            <v>40.1</v>
          </cell>
          <cell r="G352">
            <v>0</v>
          </cell>
        </row>
        <row r="353">
          <cell r="A353">
            <v>350</v>
          </cell>
          <cell r="B353" t="str">
            <v>LAMINADOS L</v>
          </cell>
          <cell r="C353" t="str">
            <v>Angulos L 180 x 180 x 15</v>
          </cell>
          <cell r="D353">
            <v>40.9</v>
          </cell>
          <cell r="E353">
            <v>40.9</v>
          </cell>
          <cell r="G353">
            <v>0</v>
          </cell>
        </row>
        <row r="354">
          <cell r="A354">
            <v>351</v>
          </cell>
          <cell r="B354" t="str">
            <v>LAMINADOS L</v>
          </cell>
          <cell r="C354" t="str">
            <v>Angulos L 180 x 180 x 18</v>
          </cell>
          <cell r="D354">
            <v>48.6</v>
          </cell>
          <cell r="E354">
            <v>48.6</v>
          </cell>
          <cell r="G354">
            <v>0</v>
          </cell>
        </row>
        <row r="355">
          <cell r="A355">
            <v>352</v>
          </cell>
          <cell r="B355" t="str">
            <v>LAMINADOS L</v>
          </cell>
          <cell r="C355" t="str">
            <v>Angulos L 180 x 180 x 20</v>
          </cell>
          <cell r="D355">
            <v>53.7</v>
          </cell>
          <cell r="E355">
            <v>53.7</v>
          </cell>
          <cell r="G355">
            <v>0</v>
          </cell>
        </row>
        <row r="356">
          <cell r="A356">
            <v>353</v>
          </cell>
          <cell r="B356" t="str">
            <v>LAMINADOS L</v>
          </cell>
          <cell r="C356" t="str">
            <v>Angulos L 200 x 200 x 16</v>
          </cell>
          <cell r="D356">
            <v>48.5</v>
          </cell>
          <cell r="E356">
            <v>48.5</v>
          </cell>
          <cell r="G356">
            <v>0</v>
          </cell>
        </row>
        <row r="357">
          <cell r="A357">
            <v>354</v>
          </cell>
          <cell r="B357" t="str">
            <v>LAMINADOS L</v>
          </cell>
          <cell r="C357" t="str">
            <v>Angulos L 200 x 200 x 18</v>
          </cell>
          <cell r="D357">
            <v>54.2</v>
          </cell>
          <cell r="E357">
            <v>54.2</v>
          </cell>
          <cell r="G357">
            <v>0</v>
          </cell>
        </row>
        <row r="358">
          <cell r="A358">
            <v>355</v>
          </cell>
          <cell r="B358" t="str">
            <v>LAMINADOS L</v>
          </cell>
          <cell r="C358" t="str">
            <v>Angulos L 200 x 200 x 20</v>
          </cell>
          <cell r="D358">
            <v>59.9</v>
          </cell>
          <cell r="E358">
            <v>59.9</v>
          </cell>
          <cell r="G358">
            <v>0</v>
          </cell>
        </row>
        <row r="359">
          <cell r="A359">
            <v>356</v>
          </cell>
          <cell r="B359" t="str">
            <v>LAMINADOS L</v>
          </cell>
          <cell r="C359" t="str">
            <v>Angulos L 200 x 200 x 24</v>
          </cell>
          <cell r="D359">
            <v>71.099999999999994</v>
          </cell>
          <cell r="E359">
            <v>71.099999999999994</v>
          </cell>
          <cell r="G359">
            <v>0</v>
          </cell>
        </row>
        <row r="360">
          <cell r="A360">
            <v>357</v>
          </cell>
          <cell r="B360" t="str">
            <v>LAMINADOS UPN</v>
          </cell>
          <cell r="C360" t="str">
            <v>Perfiles UPN 80</v>
          </cell>
          <cell r="D360">
            <v>8.64</v>
          </cell>
          <cell r="E360">
            <v>8.64</v>
          </cell>
          <cell r="G360">
            <v>0</v>
          </cell>
        </row>
        <row r="361">
          <cell r="A361">
            <v>358</v>
          </cell>
          <cell r="B361" t="str">
            <v>LAMINADOS UPN</v>
          </cell>
          <cell r="C361" t="str">
            <v>Perfiles UPN 100</v>
          </cell>
          <cell r="D361">
            <v>10.6</v>
          </cell>
          <cell r="E361">
            <v>10.6</v>
          </cell>
          <cell r="G361">
            <v>0</v>
          </cell>
        </row>
        <row r="362">
          <cell r="A362">
            <v>359</v>
          </cell>
          <cell r="B362" t="str">
            <v>LAMINADOS UPN</v>
          </cell>
          <cell r="C362" t="str">
            <v>Perfiles UPN 120</v>
          </cell>
          <cell r="D362">
            <v>13.4</v>
          </cell>
          <cell r="E362">
            <v>13.4</v>
          </cell>
          <cell r="G362">
            <v>0</v>
          </cell>
        </row>
        <row r="363">
          <cell r="A363">
            <v>360</v>
          </cell>
          <cell r="B363" t="str">
            <v>LAMINADOS UPN</v>
          </cell>
          <cell r="C363" t="str">
            <v>Perfiles UPN 140</v>
          </cell>
          <cell r="D363">
            <v>16</v>
          </cell>
          <cell r="E363">
            <v>16</v>
          </cell>
          <cell r="G363">
            <v>0</v>
          </cell>
        </row>
        <row r="364">
          <cell r="A364">
            <v>361</v>
          </cell>
          <cell r="B364" t="str">
            <v>LAMINADOS UPN</v>
          </cell>
          <cell r="C364" t="str">
            <v>Perfiles UPN 160</v>
          </cell>
          <cell r="D364">
            <v>18.8</v>
          </cell>
          <cell r="E364">
            <v>18.8</v>
          </cell>
          <cell r="G364">
            <v>0</v>
          </cell>
        </row>
        <row r="365">
          <cell r="A365">
            <v>362</v>
          </cell>
          <cell r="B365" t="str">
            <v>LAMINADOS UPN</v>
          </cell>
          <cell r="C365" t="str">
            <v>Perfiles UPN 180</v>
          </cell>
          <cell r="D365">
            <v>22</v>
          </cell>
          <cell r="E365">
            <v>22</v>
          </cell>
          <cell r="G365">
            <v>0</v>
          </cell>
        </row>
        <row r="366">
          <cell r="A366">
            <v>363</v>
          </cell>
          <cell r="B366" t="str">
            <v>LAMINADOS UPN</v>
          </cell>
          <cell r="C366" t="str">
            <v>Perfiles UPN 200</v>
          </cell>
          <cell r="D366">
            <v>25.3</v>
          </cell>
          <cell r="E366">
            <v>25.3</v>
          </cell>
          <cell r="G366">
            <v>0</v>
          </cell>
        </row>
        <row r="367">
          <cell r="A367">
            <v>364</v>
          </cell>
          <cell r="B367" t="str">
            <v>LAMINADOS UPN</v>
          </cell>
          <cell r="C367" t="str">
            <v>Perfiles UPN 220</v>
          </cell>
          <cell r="D367">
            <v>29.4</v>
          </cell>
          <cell r="E367">
            <v>29.4</v>
          </cell>
          <cell r="G367">
            <v>0</v>
          </cell>
        </row>
        <row r="368">
          <cell r="A368">
            <v>365</v>
          </cell>
          <cell r="B368" t="str">
            <v>LAMINADOS UPN</v>
          </cell>
          <cell r="C368" t="str">
            <v>Perfiles UPN 240</v>
          </cell>
          <cell r="D368">
            <v>33.200000000000003</v>
          </cell>
          <cell r="E368">
            <v>33.200000000000003</v>
          </cell>
          <cell r="G368">
            <v>0</v>
          </cell>
        </row>
        <row r="369">
          <cell r="A369">
            <v>366</v>
          </cell>
          <cell r="B369" t="str">
            <v>LAMINADOS UPN</v>
          </cell>
          <cell r="C369" t="str">
            <v>Perfiles UPN 260</v>
          </cell>
          <cell r="D369">
            <v>37.9</v>
          </cell>
          <cell r="E369">
            <v>37.9</v>
          </cell>
          <cell r="G369">
            <v>0</v>
          </cell>
        </row>
        <row r="370">
          <cell r="A370">
            <v>367</v>
          </cell>
          <cell r="B370" t="str">
            <v>LAMINADOS UPN</v>
          </cell>
          <cell r="C370" t="str">
            <v>Perfiles UPN 280</v>
          </cell>
          <cell r="D370">
            <v>41.8</v>
          </cell>
          <cell r="E370">
            <v>41.8</v>
          </cell>
          <cell r="G370">
            <v>0</v>
          </cell>
        </row>
        <row r="371">
          <cell r="A371">
            <v>368</v>
          </cell>
          <cell r="B371" t="str">
            <v>LAMINADOS UPN</v>
          </cell>
          <cell r="C371" t="str">
            <v>Perfiles UPN 300</v>
          </cell>
          <cell r="D371">
            <v>46.2</v>
          </cell>
          <cell r="E371">
            <v>46.2</v>
          </cell>
          <cell r="G371">
            <v>0</v>
          </cell>
        </row>
        <row r="372">
          <cell r="A372">
            <v>369</v>
          </cell>
          <cell r="B372" t="str">
            <v>LAMINADOS UPN</v>
          </cell>
          <cell r="C372" t="str">
            <v>Perfiles UPN 320</v>
          </cell>
          <cell r="D372">
            <v>59.5</v>
          </cell>
          <cell r="E372">
            <v>59.5</v>
          </cell>
          <cell r="G372">
            <v>0</v>
          </cell>
        </row>
        <row r="373">
          <cell r="A373">
            <v>370</v>
          </cell>
          <cell r="B373" t="str">
            <v>LAMINADOS UPN</v>
          </cell>
          <cell r="C373" t="str">
            <v>Perfiles UPN 350</v>
          </cell>
          <cell r="D373">
            <v>60.6</v>
          </cell>
          <cell r="E373">
            <v>60.6</v>
          </cell>
          <cell r="G373">
            <v>0</v>
          </cell>
        </row>
        <row r="374">
          <cell r="A374">
            <v>371</v>
          </cell>
          <cell r="B374" t="str">
            <v>LAMINADOS UPN</v>
          </cell>
          <cell r="C374" t="str">
            <v>Perfiles UPN 380</v>
          </cell>
          <cell r="D374">
            <v>63.1</v>
          </cell>
          <cell r="E374">
            <v>63.1</v>
          </cell>
          <cell r="G374">
            <v>0</v>
          </cell>
        </row>
        <row r="375">
          <cell r="A375">
            <v>372</v>
          </cell>
          <cell r="B375" t="str">
            <v>LAMINADOS UPN</v>
          </cell>
          <cell r="C375" t="str">
            <v>Perfiles UPN 400</v>
          </cell>
          <cell r="D375">
            <v>71.8</v>
          </cell>
          <cell r="E375">
            <v>71.8</v>
          </cell>
          <cell r="G375">
            <v>0</v>
          </cell>
        </row>
        <row r="376">
          <cell r="A376">
            <v>373</v>
          </cell>
          <cell r="B376" t="str">
            <v>PERFIL DOBLADO ANGULOS</v>
          </cell>
          <cell r="C376" t="str">
            <v>Angulos L 25x 3</v>
          </cell>
          <cell r="D376">
            <v>1.06</v>
          </cell>
          <cell r="E376">
            <v>1.06</v>
          </cell>
          <cell r="G376">
            <v>0</v>
          </cell>
        </row>
        <row r="377">
          <cell r="A377">
            <v>374</v>
          </cell>
          <cell r="B377" t="str">
            <v>PERFIL DOBLADO ANGULOS</v>
          </cell>
          <cell r="C377" t="str">
            <v>Angulos L 30x 2</v>
          </cell>
          <cell r="D377">
            <v>0.89</v>
          </cell>
          <cell r="E377">
            <v>0.89</v>
          </cell>
          <cell r="G377">
            <v>0</v>
          </cell>
        </row>
        <row r="378">
          <cell r="A378">
            <v>375</v>
          </cell>
          <cell r="B378" t="str">
            <v>PERFIL DOBLADO ANGULOS</v>
          </cell>
          <cell r="C378" t="str">
            <v>Angulos L 30x 3</v>
          </cell>
          <cell r="D378">
            <v>1.3</v>
          </cell>
          <cell r="E378">
            <v>1.3</v>
          </cell>
          <cell r="G378">
            <v>0</v>
          </cell>
        </row>
        <row r="379">
          <cell r="A379">
            <v>376</v>
          </cell>
          <cell r="B379" t="str">
            <v>PERFIL DOBLADO ANGULOS</v>
          </cell>
          <cell r="C379" t="str">
            <v>Angulos L 30x 4</v>
          </cell>
          <cell r="D379">
            <v>1.68</v>
          </cell>
          <cell r="E379">
            <v>1.68</v>
          </cell>
          <cell r="G379">
            <v>0</v>
          </cell>
        </row>
        <row r="380">
          <cell r="A380">
            <v>377</v>
          </cell>
          <cell r="B380" t="str">
            <v>PERFIL DOBLADO ANGULOS</v>
          </cell>
          <cell r="C380" t="str">
            <v>Angulos L 40x 2</v>
          </cell>
          <cell r="D380">
            <v>1.2</v>
          </cell>
          <cell r="E380">
            <v>1.2</v>
          </cell>
          <cell r="G380">
            <v>0</v>
          </cell>
        </row>
        <row r="381">
          <cell r="A381">
            <v>378</v>
          </cell>
          <cell r="B381" t="str">
            <v>PERFIL DOBLADO ANGULOS</v>
          </cell>
          <cell r="C381" t="str">
            <v>Angulos L 40x 3</v>
          </cell>
          <cell r="D381">
            <v>1.77</v>
          </cell>
          <cell r="E381">
            <v>1.77</v>
          </cell>
          <cell r="G381">
            <v>0</v>
          </cell>
        </row>
        <row r="382">
          <cell r="A382">
            <v>379</v>
          </cell>
          <cell r="B382" t="str">
            <v>PERFIL DOBLADO ANGULOS</v>
          </cell>
          <cell r="C382" t="str">
            <v>Angulos L 40x 4</v>
          </cell>
          <cell r="D382">
            <v>2.31</v>
          </cell>
          <cell r="E382">
            <v>2.31</v>
          </cell>
          <cell r="G382">
            <v>0</v>
          </cell>
        </row>
        <row r="383">
          <cell r="A383">
            <v>380</v>
          </cell>
          <cell r="B383" t="str">
            <v>PERFIL DOBLADO ANGULOS</v>
          </cell>
          <cell r="C383" t="str">
            <v>Angulos L 40x 5</v>
          </cell>
          <cell r="D383">
            <v>2.82</v>
          </cell>
          <cell r="E383">
            <v>2.82</v>
          </cell>
          <cell r="G383">
            <v>0</v>
          </cell>
        </row>
        <row r="384">
          <cell r="A384">
            <v>381</v>
          </cell>
          <cell r="B384" t="str">
            <v>PERFIL DOBLADO ANGULOS</v>
          </cell>
          <cell r="C384" t="str">
            <v>Angulos L 50x 2</v>
          </cell>
          <cell r="D384">
            <v>1.52</v>
          </cell>
          <cell r="E384">
            <v>1.52</v>
          </cell>
          <cell r="G384">
            <v>0</v>
          </cell>
        </row>
        <row r="385">
          <cell r="A385">
            <v>382</v>
          </cell>
          <cell r="B385" t="str">
            <v>PERFIL DOBLADO ANGULOS</v>
          </cell>
          <cell r="C385" t="str">
            <v>Angulos L 50x 3</v>
          </cell>
          <cell r="D385">
            <v>2.2400000000000002</v>
          </cell>
          <cell r="E385">
            <v>2.2400000000000002</v>
          </cell>
          <cell r="G385">
            <v>0</v>
          </cell>
        </row>
        <row r="386">
          <cell r="A386">
            <v>383</v>
          </cell>
          <cell r="B386" t="str">
            <v>PERFIL DOBLADO ANGULOS</v>
          </cell>
          <cell r="C386" t="str">
            <v>Angulos L 50x 4</v>
          </cell>
          <cell r="D386">
            <v>2.94</v>
          </cell>
          <cell r="E386">
            <v>2.94</v>
          </cell>
          <cell r="G386">
            <v>0</v>
          </cell>
        </row>
        <row r="387">
          <cell r="A387">
            <v>384</v>
          </cell>
          <cell r="B387" t="str">
            <v>PERFIL DOBLADO ANGULOS</v>
          </cell>
          <cell r="C387" t="str">
            <v>Angulos L 50x 5</v>
          </cell>
          <cell r="D387">
            <v>3.6</v>
          </cell>
          <cell r="E387">
            <v>3.6</v>
          </cell>
          <cell r="G387">
            <v>0</v>
          </cell>
        </row>
        <row r="388">
          <cell r="A388">
            <v>385</v>
          </cell>
          <cell r="B388" t="str">
            <v>PERFIL DOBLADO ANGULOS</v>
          </cell>
          <cell r="C388" t="str">
            <v>Angulos L 50x 6</v>
          </cell>
          <cell r="D388">
            <v>4.32</v>
          </cell>
          <cell r="E388">
            <v>4.32</v>
          </cell>
          <cell r="G388">
            <v>0</v>
          </cell>
        </row>
        <row r="389">
          <cell r="A389">
            <v>386</v>
          </cell>
          <cell r="B389" t="str">
            <v>PERFIL DOBLADO ANGULOS</v>
          </cell>
          <cell r="C389" t="str">
            <v>Angulos L 60x 3</v>
          </cell>
          <cell r="D389">
            <v>2.71</v>
          </cell>
          <cell r="E389">
            <v>2.71</v>
          </cell>
          <cell r="G389">
            <v>0</v>
          </cell>
        </row>
        <row r="390">
          <cell r="A390">
            <v>387</v>
          </cell>
          <cell r="B390" t="str">
            <v>PERFIL DOBLADO ANGULOS</v>
          </cell>
          <cell r="C390" t="str">
            <v>Angulos L 60x 4</v>
          </cell>
          <cell r="D390">
            <v>3.56</v>
          </cell>
          <cell r="E390">
            <v>3.56</v>
          </cell>
          <cell r="G390">
            <v>0</v>
          </cell>
        </row>
        <row r="391">
          <cell r="A391">
            <v>388</v>
          </cell>
          <cell r="B391" t="str">
            <v>PERFIL DOBLADO ANGULOS</v>
          </cell>
          <cell r="C391" t="str">
            <v>Angulos L 60x 5</v>
          </cell>
          <cell r="D391">
            <v>4.3899999999999997</v>
          </cell>
          <cell r="E391">
            <v>4.3899999999999997</v>
          </cell>
          <cell r="G391">
            <v>0</v>
          </cell>
        </row>
        <row r="392">
          <cell r="A392">
            <v>389</v>
          </cell>
          <cell r="B392" t="str">
            <v>PERFIL DOBLADO ANGULOS</v>
          </cell>
          <cell r="C392" t="str">
            <v>Angulos L 60x 6</v>
          </cell>
          <cell r="D392">
            <v>5.28</v>
          </cell>
          <cell r="E392">
            <v>5.28</v>
          </cell>
          <cell r="G392">
            <v>0</v>
          </cell>
        </row>
        <row r="393">
          <cell r="A393">
            <v>390</v>
          </cell>
          <cell r="B393" t="str">
            <v>PERFIL DOBLADO ANGULOS</v>
          </cell>
          <cell r="C393" t="str">
            <v>Angulos L 60x 8</v>
          </cell>
          <cell r="D393">
            <v>6.84</v>
          </cell>
          <cell r="E393">
            <v>6.84</v>
          </cell>
          <cell r="G393">
            <v>0</v>
          </cell>
        </row>
        <row r="394">
          <cell r="A394">
            <v>391</v>
          </cell>
          <cell r="B394" t="str">
            <v>PERFIL DOBLADO ANGULOS</v>
          </cell>
          <cell r="C394" t="str">
            <v>Angulos L 75x 4</v>
          </cell>
          <cell r="D394">
            <v>4.51</v>
          </cell>
          <cell r="E394">
            <v>4.51</v>
          </cell>
          <cell r="G394">
            <v>0</v>
          </cell>
        </row>
        <row r="395">
          <cell r="A395">
            <v>392</v>
          </cell>
          <cell r="B395" t="str">
            <v>PERFIL DOBLADO ANGULOS</v>
          </cell>
          <cell r="C395" t="str">
            <v>Angulos L 75x 5</v>
          </cell>
          <cell r="D395">
            <v>5.57</v>
          </cell>
          <cell r="E395">
            <v>5.57</v>
          </cell>
          <cell r="G395">
            <v>0</v>
          </cell>
        </row>
        <row r="396">
          <cell r="A396">
            <v>393</v>
          </cell>
          <cell r="B396" t="str">
            <v>PERFIL DOBLADO ANGULOS</v>
          </cell>
          <cell r="C396" t="str">
            <v>Angulos L 75x 6</v>
          </cell>
          <cell r="D396">
            <v>6.72</v>
          </cell>
          <cell r="E396">
            <v>6.72</v>
          </cell>
          <cell r="G396">
            <v>0</v>
          </cell>
        </row>
        <row r="397">
          <cell r="A397">
            <v>394</v>
          </cell>
          <cell r="B397" t="str">
            <v>PERFIL DOBLADO ANGULOS</v>
          </cell>
          <cell r="C397" t="str">
            <v>Angulos L 75x 8</v>
          </cell>
          <cell r="D397">
            <v>8.76</v>
          </cell>
          <cell r="E397">
            <v>8.76</v>
          </cell>
          <cell r="G397">
            <v>0</v>
          </cell>
        </row>
        <row r="398">
          <cell r="A398">
            <v>395</v>
          </cell>
          <cell r="B398" t="str">
            <v>PERFIL DOBLADO ANGULOS</v>
          </cell>
          <cell r="C398" t="str">
            <v>Angulos L 80x 5</v>
          </cell>
          <cell r="D398">
            <v>5.59</v>
          </cell>
          <cell r="E398">
            <v>5.59</v>
          </cell>
          <cell r="G398">
            <v>0</v>
          </cell>
        </row>
        <row r="399">
          <cell r="A399">
            <v>396</v>
          </cell>
          <cell r="B399" t="str">
            <v>PERFIL DOBLADO ANGULOS</v>
          </cell>
          <cell r="C399" t="str">
            <v>Angulos L 80x 6</v>
          </cell>
          <cell r="D399">
            <v>7.2</v>
          </cell>
          <cell r="E399">
            <v>7.2</v>
          </cell>
          <cell r="G399">
            <v>0</v>
          </cell>
        </row>
        <row r="400">
          <cell r="A400">
            <v>397</v>
          </cell>
          <cell r="B400" t="str">
            <v>PERFIL DOBLADO ANGULOS</v>
          </cell>
          <cell r="C400" t="str">
            <v>Angulos L 80x 8</v>
          </cell>
          <cell r="D400">
            <v>9.4</v>
          </cell>
          <cell r="E400">
            <v>9.4</v>
          </cell>
          <cell r="G400">
            <v>0</v>
          </cell>
        </row>
        <row r="401">
          <cell r="A401">
            <v>398</v>
          </cell>
          <cell r="B401" t="str">
            <v>PERFIL DOBLADO ANGULOS</v>
          </cell>
          <cell r="C401" t="str">
            <v>Angulos L 80x 10</v>
          </cell>
          <cell r="D401">
            <v>11.49</v>
          </cell>
          <cell r="E401">
            <v>11.49</v>
          </cell>
          <cell r="G401">
            <v>0</v>
          </cell>
        </row>
        <row r="402">
          <cell r="A402">
            <v>399</v>
          </cell>
          <cell r="B402" t="str">
            <v>PERFIL DOBLADO ANGULOS</v>
          </cell>
          <cell r="C402" t="str">
            <v>Angulos L 100x 6</v>
          </cell>
          <cell r="D402">
            <v>9.1199999999999992</v>
          </cell>
          <cell r="E402">
            <v>9.1199999999999992</v>
          </cell>
          <cell r="G402">
            <v>0</v>
          </cell>
        </row>
        <row r="403">
          <cell r="A403">
            <v>400</v>
          </cell>
          <cell r="B403" t="str">
            <v>PERFIL DOBLADO ANGULOS</v>
          </cell>
          <cell r="C403" t="str">
            <v>Angulos L 100x 8</v>
          </cell>
          <cell r="D403">
            <v>11.96</v>
          </cell>
          <cell r="E403">
            <v>11.96</v>
          </cell>
          <cell r="G403">
            <v>0</v>
          </cell>
        </row>
        <row r="404">
          <cell r="A404">
            <v>401</v>
          </cell>
          <cell r="B404" t="str">
            <v>PERFIL DOBLADO ANGULOS</v>
          </cell>
          <cell r="C404" t="str">
            <v>Angulos L 100x 10</v>
          </cell>
          <cell r="D404">
            <v>14.69</v>
          </cell>
          <cell r="E404">
            <v>14.69</v>
          </cell>
          <cell r="G404">
            <v>0</v>
          </cell>
        </row>
        <row r="405">
          <cell r="A405">
            <v>402</v>
          </cell>
          <cell r="B405" t="str">
            <v>PERFIL DOBLADO ANGULOS</v>
          </cell>
          <cell r="C405" t="str">
            <v>Angulos L 125x 6</v>
          </cell>
          <cell r="D405">
            <v>11.52</v>
          </cell>
          <cell r="E405">
            <v>11.52</v>
          </cell>
          <cell r="G405">
            <v>0</v>
          </cell>
        </row>
        <row r="406">
          <cell r="A406">
            <v>403</v>
          </cell>
          <cell r="B406" t="str">
            <v>PERFIL DOBLADO ANGULOS</v>
          </cell>
          <cell r="C406" t="str">
            <v>Angulos L 125x 8</v>
          </cell>
          <cell r="D406">
            <v>15.16</v>
          </cell>
          <cell r="E406">
            <v>15.16</v>
          </cell>
          <cell r="G406">
            <v>0</v>
          </cell>
        </row>
        <row r="407">
          <cell r="A407">
            <v>404</v>
          </cell>
          <cell r="B407" t="str">
            <v>PERFIL DOBLADO ANGULOS</v>
          </cell>
          <cell r="C407" t="str">
            <v>Angulos L 125x 10</v>
          </cell>
          <cell r="D407">
            <v>18.690000000000001</v>
          </cell>
          <cell r="E407">
            <v>18.690000000000001</v>
          </cell>
          <cell r="G407">
            <v>0</v>
          </cell>
        </row>
        <row r="408">
          <cell r="A408">
            <v>405</v>
          </cell>
          <cell r="B408" t="str">
            <v>PERFIL DOBLADO ANGULOS</v>
          </cell>
          <cell r="C408" t="str">
            <v>Angulos L 150x 6</v>
          </cell>
          <cell r="D408">
            <v>13.92</v>
          </cell>
          <cell r="E408">
            <v>13.92</v>
          </cell>
          <cell r="G408">
            <v>0</v>
          </cell>
        </row>
        <row r="409">
          <cell r="A409">
            <v>406</v>
          </cell>
          <cell r="B409" t="str">
            <v>PERFIL DOBLADO ANGULOS</v>
          </cell>
          <cell r="C409" t="str">
            <v>Angulos L 150x 8</v>
          </cell>
          <cell r="D409">
            <v>18.36</v>
          </cell>
          <cell r="E409">
            <v>18.36</v>
          </cell>
          <cell r="G409">
            <v>0</v>
          </cell>
        </row>
        <row r="410">
          <cell r="A410">
            <v>407</v>
          </cell>
          <cell r="B410" t="str">
            <v>PERFIL DOBLADO ANGULOS</v>
          </cell>
          <cell r="C410" t="str">
            <v>Angulos L 150x 10</v>
          </cell>
          <cell r="D410">
            <v>22.69</v>
          </cell>
          <cell r="E410">
            <v>22.69</v>
          </cell>
          <cell r="G410">
            <v>0</v>
          </cell>
        </row>
        <row r="411">
          <cell r="A411">
            <v>408</v>
          </cell>
          <cell r="B411" t="str">
            <v>PERFIL DOBLADO ANGULOS</v>
          </cell>
          <cell r="C411" t="str">
            <v>Angulos L 200x 6</v>
          </cell>
          <cell r="D411">
            <v>18.72</v>
          </cell>
          <cell r="E411">
            <v>18.72</v>
          </cell>
          <cell r="G411">
            <v>0</v>
          </cell>
        </row>
        <row r="412">
          <cell r="A412">
            <v>409</v>
          </cell>
          <cell r="B412" t="str">
            <v>PERFIL DOBLADO ANGULOS</v>
          </cell>
          <cell r="C412" t="str">
            <v>Angulos L 200x 8</v>
          </cell>
          <cell r="D412">
            <v>24.76</v>
          </cell>
          <cell r="E412">
            <v>24.76</v>
          </cell>
          <cell r="G412">
            <v>0</v>
          </cell>
        </row>
        <row r="413">
          <cell r="A413">
            <v>410</v>
          </cell>
          <cell r="B413" t="str">
            <v>PERFIL DOBLADO ANGULOS</v>
          </cell>
          <cell r="C413" t="str">
            <v>Angulos L 200x 10</v>
          </cell>
          <cell r="D413">
            <v>30.69</v>
          </cell>
          <cell r="E413">
            <v>30.69</v>
          </cell>
          <cell r="G413">
            <v>0</v>
          </cell>
        </row>
        <row r="414">
          <cell r="A414">
            <v>411</v>
          </cell>
          <cell r="B414" t="str">
            <v>PERFIL DOBLADO ANGULOS</v>
          </cell>
          <cell r="C414" t="str">
            <v>Angulos L 250x 6</v>
          </cell>
          <cell r="D414">
            <v>23.52</v>
          </cell>
          <cell r="E414">
            <v>23.52</v>
          </cell>
          <cell r="G414">
            <v>0</v>
          </cell>
        </row>
        <row r="415">
          <cell r="A415">
            <v>412</v>
          </cell>
          <cell r="B415" t="str">
            <v>PERFIL DOBLADO ANGULOS</v>
          </cell>
          <cell r="C415" t="str">
            <v>Angulos L 250x 8</v>
          </cell>
          <cell r="D415">
            <v>31.16</v>
          </cell>
          <cell r="E415">
            <v>31.16</v>
          </cell>
          <cell r="G415">
            <v>0</v>
          </cell>
        </row>
        <row r="416">
          <cell r="A416">
            <v>413</v>
          </cell>
          <cell r="B416" t="str">
            <v>PERFIL DOBLADO ANGULOS</v>
          </cell>
          <cell r="C416" t="str">
            <v>Angulos L 250x 10</v>
          </cell>
          <cell r="D416">
            <v>38.69</v>
          </cell>
          <cell r="E416">
            <v>38.69</v>
          </cell>
          <cell r="G416">
            <v>0</v>
          </cell>
        </row>
        <row r="417">
          <cell r="A417">
            <v>414</v>
          </cell>
          <cell r="B417" t="str">
            <v>PERFIL DOBLADO ANGULOS</v>
          </cell>
          <cell r="C417" t="str">
            <v>Angulos L 25x 2</v>
          </cell>
          <cell r="D417">
            <v>0.73</v>
          </cell>
          <cell r="E417">
            <v>0.73</v>
          </cell>
          <cell r="G417">
            <v>0</v>
          </cell>
        </row>
        <row r="418">
          <cell r="A418">
            <v>415</v>
          </cell>
          <cell r="B418" t="str">
            <v>PERFIL DOBLADO CANAL</v>
          </cell>
          <cell r="C418" t="str">
            <v>Canales U 50x 25x 2</v>
          </cell>
          <cell r="D418">
            <v>1.47</v>
          </cell>
          <cell r="E418">
            <v>1.47</v>
          </cell>
          <cell r="G418">
            <v>0</v>
          </cell>
        </row>
        <row r="419">
          <cell r="A419">
            <v>416</v>
          </cell>
          <cell r="B419" t="str">
            <v>PERFIL DOBLADO CANAL</v>
          </cell>
          <cell r="C419" t="str">
            <v>Canales U 50x 25x 3</v>
          </cell>
          <cell r="D419">
            <v>2.12</v>
          </cell>
          <cell r="E419">
            <v>2.12</v>
          </cell>
          <cell r="G419">
            <v>0</v>
          </cell>
        </row>
        <row r="420">
          <cell r="A420">
            <v>417</v>
          </cell>
          <cell r="B420" t="str">
            <v>PERFIL DOBLADO CANAL</v>
          </cell>
          <cell r="C420" t="str">
            <v>Canales U 80x 40x 2</v>
          </cell>
          <cell r="D420">
            <v>2.41</v>
          </cell>
          <cell r="E420">
            <v>2.41</v>
          </cell>
          <cell r="G420">
            <v>0</v>
          </cell>
        </row>
        <row r="421">
          <cell r="A421">
            <v>418</v>
          </cell>
          <cell r="B421" t="str">
            <v>PERFIL DOBLADO CANAL</v>
          </cell>
          <cell r="C421" t="str">
            <v>Canales U 80x 40x 3</v>
          </cell>
          <cell r="D421">
            <v>3.54</v>
          </cell>
          <cell r="E421">
            <v>3.54</v>
          </cell>
          <cell r="G421">
            <v>0</v>
          </cell>
        </row>
        <row r="422">
          <cell r="A422">
            <v>419</v>
          </cell>
          <cell r="B422" t="str">
            <v>PERFIL DOBLADO CANAL</v>
          </cell>
          <cell r="C422" t="str">
            <v>Canales U 80x 40x 4</v>
          </cell>
          <cell r="D422">
            <v>4.6100000000000003</v>
          </cell>
          <cell r="E422">
            <v>4.6100000000000003</v>
          </cell>
          <cell r="G422">
            <v>0</v>
          </cell>
        </row>
        <row r="423">
          <cell r="A423">
            <v>420</v>
          </cell>
          <cell r="B423" t="str">
            <v>PERFIL DOBLADO CANAL</v>
          </cell>
          <cell r="C423" t="str">
            <v>Canales U 80x 40x 5</v>
          </cell>
          <cell r="D423">
            <v>5.74</v>
          </cell>
          <cell r="E423">
            <v>5.74</v>
          </cell>
          <cell r="G423">
            <v>0</v>
          </cell>
        </row>
        <row r="424">
          <cell r="A424">
            <v>421</v>
          </cell>
          <cell r="B424" t="str">
            <v>PERFIL DOBLADO CANAL</v>
          </cell>
          <cell r="C424" t="str">
            <v>Canales U 80x 40x 6</v>
          </cell>
          <cell r="D424">
            <v>6.74</v>
          </cell>
          <cell r="E424">
            <v>6.74</v>
          </cell>
          <cell r="G424">
            <v>0</v>
          </cell>
        </row>
        <row r="425">
          <cell r="A425">
            <v>422</v>
          </cell>
          <cell r="B425" t="str">
            <v>PERFIL DOBLADO CANAL</v>
          </cell>
          <cell r="C425" t="str">
            <v>Canales U 100x 50x2</v>
          </cell>
          <cell r="D425">
            <v>3.04</v>
          </cell>
          <cell r="E425">
            <v>3.04</v>
          </cell>
          <cell r="G425">
            <v>0</v>
          </cell>
        </row>
        <row r="426">
          <cell r="A426">
            <v>423</v>
          </cell>
          <cell r="B426" t="str">
            <v>PERFIL DOBLADO CANAL</v>
          </cell>
          <cell r="C426" t="str">
            <v>Canales U 100x 50x3</v>
          </cell>
          <cell r="D426">
            <v>4.4800000000000004</v>
          </cell>
          <cell r="E426">
            <v>4.4800000000000004</v>
          </cell>
          <cell r="G426">
            <v>0</v>
          </cell>
        </row>
        <row r="427">
          <cell r="A427">
            <v>424</v>
          </cell>
          <cell r="B427" t="str">
            <v>PERFIL DOBLADO CANAL</v>
          </cell>
          <cell r="C427" t="str">
            <v>Canales U 100x 50x4</v>
          </cell>
          <cell r="D427">
            <v>5.87</v>
          </cell>
          <cell r="E427">
            <v>5.87</v>
          </cell>
          <cell r="G427">
            <v>0</v>
          </cell>
        </row>
        <row r="428">
          <cell r="A428">
            <v>425</v>
          </cell>
          <cell r="B428" t="str">
            <v>PERFIL DOBLADO CANAL</v>
          </cell>
          <cell r="C428" t="str">
            <v>Canales U 100x 50x5</v>
          </cell>
          <cell r="D428">
            <v>7.2</v>
          </cell>
          <cell r="E428">
            <v>7.2</v>
          </cell>
          <cell r="G428">
            <v>0</v>
          </cell>
        </row>
        <row r="429">
          <cell r="A429">
            <v>426</v>
          </cell>
          <cell r="B429" t="str">
            <v>PERFIL DOBLADO CANAL</v>
          </cell>
          <cell r="C429" t="str">
            <v>Canales U 100x 50x6</v>
          </cell>
          <cell r="D429">
            <v>8.66</v>
          </cell>
          <cell r="E429">
            <v>8.66</v>
          </cell>
          <cell r="G429">
            <v>0</v>
          </cell>
        </row>
        <row r="430">
          <cell r="A430">
            <v>427</v>
          </cell>
          <cell r="B430" t="str">
            <v>PERFIL DOBLADO CANAL</v>
          </cell>
          <cell r="C430" t="str">
            <v>Canales U 100x 60x 6</v>
          </cell>
          <cell r="D430">
            <v>9.6199999999999992</v>
          </cell>
          <cell r="E430">
            <v>9.6199999999999992</v>
          </cell>
          <cell r="G430">
            <v>0</v>
          </cell>
        </row>
        <row r="431">
          <cell r="A431">
            <v>428</v>
          </cell>
          <cell r="B431" t="str">
            <v>PERFIL DOBLADO CANAL</v>
          </cell>
          <cell r="C431" t="str">
            <v>Canales U 100x 60x 8</v>
          </cell>
          <cell r="D431">
            <v>12.4</v>
          </cell>
          <cell r="E431">
            <v>12.4</v>
          </cell>
          <cell r="G431">
            <v>0</v>
          </cell>
        </row>
        <row r="432">
          <cell r="A432">
            <v>429</v>
          </cell>
          <cell r="B432" t="str">
            <v>PERFIL DOBLADO CANAL</v>
          </cell>
          <cell r="C432" t="str">
            <v>Canales U 125x 50x 2</v>
          </cell>
          <cell r="D432">
            <v>3.43</v>
          </cell>
          <cell r="E432">
            <v>3.43</v>
          </cell>
          <cell r="G432">
            <v>0</v>
          </cell>
        </row>
        <row r="433">
          <cell r="A433">
            <v>430</v>
          </cell>
          <cell r="B433" t="str">
            <v>PERFIL DOBLADO CANAL</v>
          </cell>
          <cell r="C433" t="str">
            <v>Canales U 125x 50x 3</v>
          </cell>
          <cell r="D433">
            <v>5.07</v>
          </cell>
          <cell r="E433">
            <v>5.07</v>
          </cell>
          <cell r="G433">
            <v>0</v>
          </cell>
        </row>
        <row r="434">
          <cell r="A434">
            <v>431</v>
          </cell>
          <cell r="B434" t="str">
            <v>PERFIL DOBLADO CANAL</v>
          </cell>
          <cell r="C434" t="str">
            <v>Canales U 125x 50x 4</v>
          </cell>
          <cell r="D434">
            <v>6.65</v>
          </cell>
          <cell r="E434">
            <v>6.65</v>
          </cell>
          <cell r="G434">
            <v>0</v>
          </cell>
        </row>
        <row r="435">
          <cell r="A435">
            <v>432</v>
          </cell>
          <cell r="B435" t="str">
            <v>PERFIL DOBLADO CANAL</v>
          </cell>
          <cell r="C435" t="str">
            <v>Canales U 125x 50x 5</v>
          </cell>
          <cell r="D435">
            <v>8.19</v>
          </cell>
          <cell r="E435">
            <v>8.19</v>
          </cell>
          <cell r="G435">
            <v>0</v>
          </cell>
        </row>
        <row r="436">
          <cell r="A436">
            <v>433</v>
          </cell>
          <cell r="B436" t="str">
            <v>PERFIL DOBLADO CANAL</v>
          </cell>
          <cell r="C436" t="str">
            <v>Canales U 125x 50x 6</v>
          </cell>
          <cell r="D436">
            <v>9.86</v>
          </cell>
          <cell r="E436">
            <v>9.86</v>
          </cell>
          <cell r="G436">
            <v>0</v>
          </cell>
        </row>
        <row r="437">
          <cell r="A437">
            <v>434</v>
          </cell>
          <cell r="B437" t="str">
            <v>PERFIL DOBLADO CANAL</v>
          </cell>
          <cell r="C437" t="str">
            <v>Canales U 125x 60x 6</v>
          </cell>
          <cell r="D437">
            <v>10.82</v>
          </cell>
          <cell r="E437">
            <v>10.82</v>
          </cell>
          <cell r="G437">
            <v>0</v>
          </cell>
        </row>
        <row r="438">
          <cell r="A438">
            <v>435</v>
          </cell>
          <cell r="B438" t="str">
            <v>PERFIL DOBLADO CANAL</v>
          </cell>
          <cell r="C438" t="str">
            <v>Canales U 125x 60x 8</v>
          </cell>
          <cell r="D438">
            <v>14</v>
          </cell>
          <cell r="E438">
            <v>14</v>
          </cell>
          <cell r="G438">
            <v>0</v>
          </cell>
        </row>
        <row r="439">
          <cell r="A439">
            <v>436</v>
          </cell>
          <cell r="B439" t="str">
            <v>PERFIL DOBLADO CANAL</v>
          </cell>
          <cell r="C439" t="str">
            <v>Canales U 125x 80x 6</v>
          </cell>
          <cell r="D439">
            <v>12.74</v>
          </cell>
          <cell r="E439">
            <v>12.74</v>
          </cell>
          <cell r="G439">
            <v>0</v>
          </cell>
        </row>
        <row r="440">
          <cell r="A440">
            <v>437</v>
          </cell>
          <cell r="B440" t="str">
            <v>PERFIL DOBLADO CANAL</v>
          </cell>
          <cell r="C440" t="str">
            <v>Canales U 125x 80x 8</v>
          </cell>
          <cell r="D440">
            <v>16.55</v>
          </cell>
          <cell r="E440">
            <v>16.55</v>
          </cell>
          <cell r="G440">
            <v>0</v>
          </cell>
        </row>
        <row r="441">
          <cell r="A441">
            <v>438</v>
          </cell>
          <cell r="B441" t="str">
            <v>PERFIL DOBLADO CANAL</v>
          </cell>
          <cell r="C441" t="str">
            <v>Canales U 125x 80x 10</v>
          </cell>
          <cell r="D441">
            <v>20.16</v>
          </cell>
          <cell r="E441">
            <v>20.16</v>
          </cell>
          <cell r="G441">
            <v>0</v>
          </cell>
        </row>
        <row r="442">
          <cell r="A442">
            <v>439</v>
          </cell>
          <cell r="B442" t="str">
            <v>PERFIL DOBLADO CANAL</v>
          </cell>
          <cell r="C442" t="str">
            <v>Canales U 150x 50x 2</v>
          </cell>
          <cell r="D442">
            <v>3.82</v>
          </cell>
          <cell r="E442">
            <v>3.82</v>
          </cell>
          <cell r="G442">
            <v>0</v>
          </cell>
        </row>
        <row r="443">
          <cell r="A443">
            <v>440</v>
          </cell>
          <cell r="B443" t="str">
            <v>PERFIL DOBLADO CANAL</v>
          </cell>
          <cell r="C443" t="str">
            <v>Canales U 150x 50x 3</v>
          </cell>
          <cell r="D443">
            <v>5.66</v>
          </cell>
          <cell r="E443">
            <v>5.66</v>
          </cell>
          <cell r="G443">
            <v>0</v>
          </cell>
        </row>
        <row r="444">
          <cell r="A444">
            <v>441</v>
          </cell>
          <cell r="B444" t="str">
            <v>PERFIL DOBLADO CANAL</v>
          </cell>
          <cell r="C444" t="str">
            <v>Canales U 150x 50x 4</v>
          </cell>
          <cell r="D444">
            <v>7.44</v>
          </cell>
          <cell r="E444">
            <v>7.44</v>
          </cell>
          <cell r="G444">
            <v>0</v>
          </cell>
        </row>
        <row r="445">
          <cell r="A445">
            <v>442</v>
          </cell>
          <cell r="B445" t="str">
            <v>PERFIL DOBLADO CANAL</v>
          </cell>
          <cell r="C445" t="str">
            <v>Canales U 150x 50x 5</v>
          </cell>
          <cell r="D445">
            <v>9.17</v>
          </cell>
          <cell r="E445">
            <v>9.17</v>
          </cell>
          <cell r="G445">
            <v>0</v>
          </cell>
        </row>
        <row r="446">
          <cell r="A446">
            <v>443</v>
          </cell>
          <cell r="B446" t="str">
            <v>PERFIL DOBLADO CANAL</v>
          </cell>
          <cell r="C446" t="str">
            <v>Canales U 150x 50x 6</v>
          </cell>
          <cell r="D446">
            <v>11.06</v>
          </cell>
          <cell r="E446">
            <v>11.06</v>
          </cell>
          <cell r="G446">
            <v>0</v>
          </cell>
        </row>
        <row r="447">
          <cell r="A447">
            <v>444</v>
          </cell>
          <cell r="B447" t="str">
            <v>PERFIL DOBLADO CANAL</v>
          </cell>
          <cell r="C447" t="str">
            <v>Canales U 150x 60x 6</v>
          </cell>
          <cell r="D447">
            <v>12.02</v>
          </cell>
          <cell r="E447">
            <v>12.02</v>
          </cell>
          <cell r="G447">
            <v>0</v>
          </cell>
        </row>
        <row r="448">
          <cell r="A448">
            <v>445</v>
          </cell>
          <cell r="B448" t="str">
            <v>PERFIL DOBLADO CANAL</v>
          </cell>
          <cell r="C448" t="str">
            <v>Canales U 150x 60x 8</v>
          </cell>
          <cell r="D448">
            <v>15.6</v>
          </cell>
          <cell r="E448">
            <v>15.6</v>
          </cell>
          <cell r="G448">
            <v>0</v>
          </cell>
        </row>
        <row r="449">
          <cell r="A449">
            <v>446</v>
          </cell>
          <cell r="B449" t="str">
            <v>PERFIL DOBLADO CANAL</v>
          </cell>
          <cell r="C449" t="str">
            <v>Canales U 150x 80x 6</v>
          </cell>
          <cell r="D449">
            <v>13.94</v>
          </cell>
          <cell r="E449">
            <v>13.94</v>
          </cell>
          <cell r="G449">
            <v>0</v>
          </cell>
        </row>
        <row r="450">
          <cell r="A450">
            <v>447</v>
          </cell>
          <cell r="B450" t="str">
            <v>PERFIL DOBLADO CANAL</v>
          </cell>
          <cell r="C450" t="str">
            <v>Canales U 150x 80x 8</v>
          </cell>
          <cell r="D450">
            <v>18.149999999999999</v>
          </cell>
          <cell r="E450">
            <v>18.149999999999999</v>
          </cell>
          <cell r="G450">
            <v>0</v>
          </cell>
        </row>
        <row r="451">
          <cell r="A451">
            <v>448</v>
          </cell>
          <cell r="B451" t="str">
            <v>PERFIL DOBLADO CANAL</v>
          </cell>
          <cell r="C451" t="str">
            <v>Canales U 150x 80x 10</v>
          </cell>
          <cell r="D451">
            <v>22.16</v>
          </cell>
          <cell r="E451">
            <v>22.16</v>
          </cell>
          <cell r="G451">
            <v>0</v>
          </cell>
        </row>
        <row r="452">
          <cell r="A452">
            <v>449</v>
          </cell>
          <cell r="B452" t="str">
            <v>PERFIL DOBLADO CANAL</v>
          </cell>
          <cell r="C452" t="str">
            <v>Canales U 200x 50x 2</v>
          </cell>
          <cell r="D452">
            <v>4.6100000000000003</v>
          </cell>
          <cell r="E452">
            <v>4.6100000000000003</v>
          </cell>
          <cell r="G452">
            <v>0</v>
          </cell>
        </row>
        <row r="453">
          <cell r="A453">
            <v>450</v>
          </cell>
          <cell r="B453" t="str">
            <v>PERFIL DOBLADO CANAL</v>
          </cell>
          <cell r="C453" t="str">
            <v>Canales U 200x 50x 3</v>
          </cell>
          <cell r="D453">
            <v>6.83</v>
          </cell>
          <cell r="E453">
            <v>6.83</v>
          </cell>
          <cell r="G453">
            <v>0</v>
          </cell>
        </row>
        <row r="454">
          <cell r="A454">
            <v>451</v>
          </cell>
          <cell r="B454" t="str">
            <v>PERFIL DOBLADO CANAL</v>
          </cell>
          <cell r="C454" t="str">
            <v>Canales U 200x 50x 4</v>
          </cell>
          <cell r="D454">
            <v>9.01</v>
          </cell>
          <cell r="E454">
            <v>9.01</v>
          </cell>
          <cell r="G454">
            <v>0</v>
          </cell>
        </row>
        <row r="455">
          <cell r="A455">
            <v>452</v>
          </cell>
          <cell r="B455" t="str">
            <v>PERFIL DOBLADO CANAL</v>
          </cell>
          <cell r="C455" t="str">
            <v>Canales U 200x 50x 5</v>
          </cell>
          <cell r="D455">
            <v>11.1</v>
          </cell>
          <cell r="E455">
            <v>11.1</v>
          </cell>
          <cell r="G455">
            <v>0</v>
          </cell>
        </row>
        <row r="456">
          <cell r="A456">
            <v>453</v>
          </cell>
          <cell r="B456" t="str">
            <v>PERFIL DOBLADO CANAL</v>
          </cell>
          <cell r="C456" t="str">
            <v>Canales U 200x 50x 6</v>
          </cell>
          <cell r="D456">
            <v>13.45</v>
          </cell>
          <cell r="E456">
            <v>13.45</v>
          </cell>
          <cell r="G456">
            <v>0</v>
          </cell>
        </row>
        <row r="457">
          <cell r="A457">
            <v>454</v>
          </cell>
          <cell r="B457" t="str">
            <v>PERFIL DOBLADO CANAL</v>
          </cell>
          <cell r="C457" t="str">
            <v>Canales U 200x 60x 6</v>
          </cell>
          <cell r="D457">
            <v>14.42</v>
          </cell>
          <cell r="E457">
            <v>14.42</v>
          </cell>
          <cell r="G457">
            <v>0</v>
          </cell>
        </row>
        <row r="458">
          <cell r="A458">
            <v>455</v>
          </cell>
          <cell r="B458" t="str">
            <v>PERFIL DOBLADO CANAL</v>
          </cell>
          <cell r="C458" t="str">
            <v>Canales U 200x 60x 8</v>
          </cell>
          <cell r="D458">
            <v>18.8</v>
          </cell>
          <cell r="E458">
            <v>18.8</v>
          </cell>
          <cell r="G458">
            <v>0</v>
          </cell>
        </row>
        <row r="459">
          <cell r="A459">
            <v>456</v>
          </cell>
          <cell r="B459" t="str">
            <v>PERFIL DOBLADO CANAL</v>
          </cell>
          <cell r="C459" t="str">
            <v>Canales U 200x 80x 6</v>
          </cell>
          <cell r="D459">
            <v>16.34</v>
          </cell>
          <cell r="E459">
            <v>16.34</v>
          </cell>
          <cell r="G459">
            <v>0</v>
          </cell>
        </row>
        <row r="460">
          <cell r="A460">
            <v>457</v>
          </cell>
          <cell r="B460" t="str">
            <v>PERFIL DOBLADO CANAL</v>
          </cell>
          <cell r="C460" t="str">
            <v>Canales U 200x 80x 8</v>
          </cell>
          <cell r="D460">
            <v>21.35</v>
          </cell>
          <cell r="E460">
            <v>21.35</v>
          </cell>
          <cell r="G460">
            <v>0</v>
          </cell>
        </row>
        <row r="461">
          <cell r="A461">
            <v>458</v>
          </cell>
          <cell r="B461" t="str">
            <v>PERFIL DOBLADO CANAL</v>
          </cell>
          <cell r="C461" t="str">
            <v>Canales U 200x 80x 10</v>
          </cell>
          <cell r="D461">
            <v>26.16</v>
          </cell>
          <cell r="E461">
            <v>26.16</v>
          </cell>
          <cell r="G461">
            <v>0</v>
          </cell>
        </row>
        <row r="462">
          <cell r="A462">
            <v>459</v>
          </cell>
          <cell r="B462" t="str">
            <v>PERFIL DOBLADO CANAL</v>
          </cell>
          <cell r="C462" t="str">
            <v>Canales U 200x 100x 6</v>
          </cell>
          <cell r="D462">
            <v>18.260000000000002</v>
          </cell>
          <cell r="E462">
            <v>18.260000000000002</v>
          </cell>
          <cell r="G462">
            <v>0</v>
          </cell>
        </row>
        <row r="463">
          <cell r="A463">
            <v>460</v>
          </cell>
          <cell r="B463" t="str">
            <v>PERFIL DOBLADO CANAL</v>
          </cell>
          <cell r="C463" t="str">
            <v>Canales U 200x 100x 8</v>
          </cell>
          <cell r="D463">
            <v>23.91</v>
          </cell>
          <cell r="E463">
            <v>23.91</v>
          </cell>
          <cell r="G463">
            <v>0</v>
          </cell>
        </row>
        <row r="464">
          <cell r="A464">
            <v>461</v>
          </cell>
          <cell r="B464" t="str">
            <v>PERFIL DOBLADO CANAL</v>
          </cell>
          <cell r="C464" t="str">
            <v>Canales U 200x 100x 10</v>
          </cell>
          <cell r="D464">
            <v>29.36</v>
          </cell>
          <cell r="E464">
            <v>29.36</v>
          </cell>
          <cell r="G464">
            <v>0</v>
          </cell>
        </row>
        <row r="465">
          <cell r="A465">
            <v>462</v>
          </cell>
          <cell r="B465" t="str">
            <v>PERFIL DOBLADO CANAL</v>
          </cell>
          <cell r="C465" t="str">
            <v>Canales U 250x 80x 6</v>
          </cell>
          <cell r="D465">
            <v>18.739999999999998</v>
          </cell>
          <cell r="E465">
            <v>18.739999999999998</v>
          </cell>
          <cell r="G465">
            <v>0</v>
          </cell>
        </row>
        <row r="466">
          <cell r="A466">
            <v>463</v>
          </cell>
          <cell r="B466" t="str">
            <v>PERFIL DOBLADO CANAL</v>
          </cell>
          <cell r="C466" t="str">
            <v>Canales U 250x 80x 8</v>
          </cell>
          <cell r="D466">
            <v>24.55</v>
          </cell>
          <cell r="E466">
            <v>24.55</v>
          </cell>
          <cell r="G466">
            <v>0</v>
          </cell>
        </row>
        <row r="467">
          <cell r="A467">
            <v>464</v>
          </cell>
          <cell r="B467" t="str">
            <v>PERFIL DOBLADO CANAL</v>
          </cell>
          <cell r="C467" t="str">
            <v>Canales U 250x 80x 10</v>
          </cell>
          <cell r="D467">
            <v>30.16</v>
          </cell>
          <cell r="E467">
            <v>30.16</v>
          </cell>
          <cell r="G467">
            <v>0</v>
          </cell>
        </row>
        <row r="468">
          <cell r="A468">
            <v>465</v>
          </cell>
          <cell r="B468" t="str">
            <v>PERFIL DOBLADO CANAL</v>
          </cell>
          <cell r="C468" t="str">
            <v>Canales U 250x 100x 6</v>
          </cell>
          <cell r="D468">
            <v>20.66</v>
          </cell>
          <cell r="E468">
            <v>20.66</v>
          </cell>
          <cell r="G468">
            <v>0</v>
          </cell>
        </row>
        <row r="469">
          <cell r="A469">
            <v>466</v>
          </cell>
          <cell r="B469" t="str">
            <v>PERFIL DOBLADO CANAL</v>
          </cell>
          <cell r="C469" t="str">
            <v>Canales U 250x 100x 8</v>
          </cell>
          <cell r="D469">
            <v>27.11</v>
          </cell>
          <cell r="E469">
            <v>27.11</v>
          </cell>
          <cell r="G469">
            <v>0</v>
          </cell>
        </row>
        <row r="470">
          <cell r="A470">
            <v>467</v>
          </cell>
          <cell r="B470" t="str">
            <v>PERFIL DOBLADO CANAL</v>
          </cell>
          <cell r="C470" t="str">
            <v>Canales U 250x 100x 10</v>
          </cell>
          <cell r="D470">
            <v>33.36</v>
          </cell>
          <cell r="E470">
            <v>33.36</v>
          </cell>
          <cell r="G470">
            <v>0</v>
          </cell>
        </row>
        <row r="471">
          <cell r="A471">
            <v>468</v>
          </cell>
          <cell r="B471" t="str">
            <v>PERFIL DOBLADO CANAL</v>
          </cell>
          <cell r="C471" t="str">
            <v>Canales U 300x 80x 6</v>
          </cell>
          <cell r="D471">
            <v>21.14</v>
          </cell>
          <cell r="E471">
            <v>21.14</v>
          </cell>
          <cell r="G471">
            <v>0</v>
          </cell>
        </row>
        <row r="472">
          <cell r="A472">
            <v>469</v>
          </cell>
          <cell r="B472" t="str">
            <v>PERFIL DOBLADO CANAL</v>
          </cell>
          <cell r="C472" t="str">
            <v>Canales U 300x 80x 8</v>
          </cell>
          <cell r="D472">
            <v>27.75</v>
          </cell>
          <cell r="E472">
            <v>27.75</v>
          </cell>
          <cell r="G472">
            <v>0</v>
          </cell>
        </row>
        <row r="473">
          <cell r="A473">
            <v>470</v>
          </cell>
          <cell r="B473" t="str">
            <v>PERFIL DOBLADO CANAL</v>
          </cell>
          <cell r="C473" t="str">
            <v>Canales U 300x 80x 10</v>
          </cell>
          <cell r="D473">
            <v>34.17</v>
          </cell>
          <cell r="E473">
            <v>34.17</v>
          </cell>
          <cell r="G473">
            <v>0</v>
          </cell>
        </row>
        <row r="474">
          <cell r="A474">
            <v>471</v>
          </cell>
          <cell r="B474" t="str">
            <v>PERFIL DOBLADO CANAL</v>
          </cell>
          <cell r="C474" t="str">
            <v>Canales U 300x 100x 6</v>
          </cell>
          <cell r="D474">
            <v>23.06</v>
          </cell>
          <cell r="E474">
            <v>23.06</v>
          </cell>
          <cell r="G474">
            <v>0</v>
          </cell>
        </row>
        <row r="475">
          <cell r="A475">
            <v>472</v>
          </cell>
          <cell r="B475" t="str">
            <v>PERFIL DOBLADO CANAL</v>
          </cell>
          <cell r="C475" t="str">
            <v>Canales U 300x 100x 8</v>
          </cell>
          <cell r="D475">
            <v>30.31</v>
          </cell>
          <cell r="E475">
            <v>30.31</v>
          </cell>
          <cell r="G475">
            <v>0</v>
          </cell>
        </row>
        <row r="476">
          <cell r="A476">
            <v>473</v>
          </cell>
          <cell r="B476" t="str">
            <v>PERFIL DOBLADO CANAL</v>
          </cell>
          <cell r="C476" t="str">
            <v>Canales U 300x 100x 10</v>
          </cell>
          <cell r="D476">
            <v>37.36</v>
          </cell>
          <cell r="E476">
            <v>37.36</v>
          </cell>
          <cell r="G476">
            <v>0</v>
          </cell>
        </row>
        <row r="477">
          <cell r="A477">
            <v>474</v>
          </cell>
          <cell r="B477" t="str">
            <v>PERFIL DOBLADO CORREA G</v>
          </cell>
          <cell r="C477" t="str">
            <v>Correas G 80x 40x 15x 2</v>
          </cell>
          <cell r="D477">
            <v>2.78</v>
          </cell>
          <cell r="E477">
            <v>2.78</v>
          </cell>
          <cell r="G477">
            <v>0</v>
          </cell>
        </row>
        <row r="478">
          <cell r="A478">
            <v>475</v>
          </cell>
          <cell r="B478" t="str">
            <v>PERFIL DOBLADO CORREA G</v>
          </cell>
          <cell r="C478" t="str">
            <v>Correas G 80x 40x 15x 3</v>
          </cell>
          <cell r="D478">
            <v>4.01</v>
          </cell>
          <cell r="E478">
            <v>4.01</v>
          </cell>
          <cell r="G478">
            <v>0</v>
          </cell>
        </row>
        <row r="479">
          <cell r="A479">
            <v>476</v>
          </cell>
          <cell r="B479" t="str">
            <v>PERFIL DOBLADO CORREA G</v>
          </cell>
          <cell r="C479" t="str">
            <v>Correas G 100x 50x 15x 2</v>
          </cell>
          <cell r="D479">
            <v>3.4</v>
          </cell>
          <cell r="E479">
            <v>3.4</v>
          </cell>
          <cell r="G479">
            <v>0</v>
          </cell>
        </row>
        <row r="480">
          <cell r="A480">
            <v>477</v>
          </cell>
          <cell r="B480" t="str">
            <v>PERFIL DOBLADO CORREA G</v>
          </cell>
          <cell r="C480" t="str">
            <v>Correas G 100x 50x 15x 3</v>
          </cell>
          <cell r="D480">
            <v>4.95</v>
          </cell>
          <cell r="E480">
            <v>4.95</v>
          </cell>
          <cell r="G480">
            <v>0</v>
          </cell>
        </row>
        <row r="481">
          <cell r="A481">
            <v>478</v>
          </cell>
          <cell r="B481" t="str">
            <v>PERFIL DOBLADO CORREA G</v>
          </cell>
          <cell r="C481" t="str">
            <v>Correas G 100x 50x 30x 4</v>
          </cell>
          <cell r="D481">
            <v>7.47</v>
          </cell>
          <cell r="E481">
            <v>7.47</v>
          </cell>
          <cell r="G481">
            <v>0</v>
          </cell>
        </row>
        <row r="482">
          <cell r="A482">
            <v>479</v>
          </cell>
          <cell r="B482" t="str">
            <v>PERFIL DOBLADO CORREA G</v>
          </cell>
          <cell r="C482" t="str">
            <v>Correas G 100x 50x 30x 5</v>
          </cell>
          <cell r="D482">
            <v>9.08</v>
          </cell>
          <cell r="E482">
            <v>9.08</v>
          </cell>
          <cell r="G482">
            <v>0</v>
          </cell>
        </row>
        <row r="483">
          <cell r="A483">
            <v>480</v>
          </cell>
          <cell r="B483" t="str">
            <v>PERFIL DOBLADO CORREA G</v>
          </cell>
          <cell r="C483" t="str">
            <v>Correas G 100x 50x 30x 6</v>
          </cell>
          <cell r="D483">
            <v>10.58</v>
          </cell>
          <cell r="E483">
            <v>10.58</v>
          </cell>
          <cell r="G483">
            <v>0</v>
          </cell>
        </row>
        <row r="484">
          <cell r="A484">
            <v>481</v>
          </cell>
          <cell r="B484" t="str">
            <v>PERFIL DOBLADO CORREA G</v>
          </cell>
          <cell r="C484" t="str">
            <v>Correas G 125x 50x 15x 2</v>
          </cell>
          <cell r="D484">
            <v>3.8</v>
          </cell>
          <cell r="E484">
            <v>3.8</v>
          </cell>
          <cell r="G484">
            <v>0</v>
          </cell>
        </row>
        <row r="485">
          <cell r="A485">
            <v>482</v>
          </cell>
          <cell r="B485" t="str">
            <v>PERFIL DOBLADO CORREA G</v>
          </cell>
          <cell r="C485" t="str">
            <v>Correas G 125x 50x 15x 3</v>
          </cell>
          <cell r="D485">
            <v>5.54</v>
          </cell>
          <cell r="E485">
            <v>5.54</v>
          </cell>
          <cell r="G485">
            <v>0</v>
          </cell>
        </row>
        <row r="486">
          <cell r="A486">
            <v>483</v>
          </cell>
          <cell r="B486" t="str">
            <v>PERFIL DOBLADO CORREA G</v>
          </cell>
          <cell r="C486" t="str">
            <v>Correas G 125x 50x 30x 4</v>
          </cell>
          <cell r="D486">
            <v>8.27</v>
          </cell>
          <cell r="E486">
            <v>8.27</v>
          </cell>
          <cell r="G486">
            <v>0</v>
          </cell>
        </row>
        <row r="487">
          <cell r="A487">
            <v>484</v>
          </cell>
          <cell r="B487" t="str">
            <v>PERFIL DOBLADO CORREA G</v>
          </cell>
          <cell r="C487" t="str">
            <v>Correas G 125x 50x 30x 5</v>
          </cell>
          <cell r="D487">
            <v>10.08</v>
          </cell>
          <cell r="E487">
            <v>10.08</v>
          </cell>
          <cell r="G487">
            <v>0</v>
          </cell>
        </row>
        <row r="488">
          <cell r="A488">
            <v>485</v>
          </cell>
          <cell r="B488" t="str">
            <v>PERFIL DOBLADO CORREA G</v>
          </cell>
          <cell r="C488" t="str">
            <v>Correas G 125x 50x 30x 6</v>
          </cell>
          <cell r="D488">
            <v>11.78</v>
          </cell>
          <cell r="E488">
            <v>11.78</v>
          </cell>
          <cell r="G488">
            <v>0</v>
          </cell>
        </row>
        <row r="489">
          <cell r="A489">
            <v>486</v>
          </cell>
          <cell r="B489" t="str">
            <v>PERFIL DOBLADO CORREA G</v>
          </cell>
          <cell r="C489" t="str">
            <v>Correas G 150x 50x 15x 2</v>
          </cell>
          <cell r="D489">
            <v>4.1900000000000004</v>
          </cell>
          <cell r="E489">
            <v>4.1900000000000004</v>
          </cell>
          <cell r="G489">
            <v>0</v>
          </cell>
        </row>
        <row r="490">
          <cell r="A490">
            <v>487</v>
          </cell>
          <cell r="B490" t="str">
            <v>PERFIL DOBLADO CORREA G</v>
          </cell>
          <cell r="C490" t="str">
            <v>Correas G 150x 50x 15x 3</v>
          </cell>
          <cell r="D490">
            <v>6.18</v>
          </cell>
          <cell r="E490">
            <v>6.18</v>
          </cell>
          <cell r="G490">
            <v>0</v>
          </cell>
        </row>
        <row r="491">
          <cell r="A491">
            <v>488</v>
          </cell>
          <cell r="B491" t="str">
            <v>PERFIL DOBLADO CORREA G</v>
          </cell>
          <cell r="C491" t="str">
            <v>Correas G 150x 60x 30x 4</v>
          </cell>
          <cell r="D491">
            <v>9.7200000000000006</v>
          </cell>
          <cell r="E491">
            <v>9.7200000000000006</v>
          </cell>
          <cell r="G491">
            <v>0</v>
          </cell>
        </row>
        <row r="492">
          <cell r="A492">
            <v>489</v>
          </cell>
          <cell r="B492" t="str">
            <v>PERFIL DOBLADO CORREA G</v>
          </cell>
          <cell r="C492" t="str">
            <v>Correas G 150x 60x 30x 5</v>
          </cell>
          <cell r="D492">
            <v>11.88</v>
          </cell>
          <cell r="E492">
            <v>11.88</v>
          </cell>
          <cell r="G492">
            <v>0</v>
          </cell>
        </row>
        <row r="493">
          <cell r="A493">
            <v>490</v>
          </cell>
          <cell r="B493" t="str">
            <v>PERFIL DOBLADO CORREA G</v>
          </cell>
          <cell r="C493" t="str">
            <v>Correas G 150x 60x 30x 6</v>
          </cell>
          <cell r="D493">
            <v>13.94</v>
          </cell>
          <cell r="E493">
            <v>13.94</v>
          </cell>
          <cell r="G493">
            <v>0</v>
          </cell>
        </row>
        <row r="494">
          <cell r="A494">
            <v>491</v>
          </cell>
          <cell r="B494" t="str">
            <v>PERFIL DOBLADO CORREA G</v>
          </cell>
          <cell r="C494" t="str">
            <v>Correas G 200x 50x 15x 2</v>
          </cell>
          <cell r="D494">
            <v>4.99</v>
          </cell>
          <cell r="E494">
            <v>4.99</v>
          </cell>
          <cell r="G494">
            <v>0</v>
          </cell>
        </row>
        <row r="495">
          <cell r="A495">
            <v>492</v>
          </cell>
          <cell r="B495" t="str">
            <v>PERFIL DOBLADO CORREA G</v>
          </cell>
          <cell r="C495" t="str">
            <v>Correas G 200x 50x 15x 3</v>
          </cell>
          <cell r="D495">
            <v>7.31</v>
          </cell>
          <cell r="E495">
            <v>7.31</v>
          </cell>
          <cell r="G495">
            <v>0</v>
          </cell>
        </row>
        <row r="496">
          <cell r="A496">
            <v>493</v>
          </cell>
          <cell r="B496" t="str">
            <v>PERFIL DOBLADO CORREA G</v>
          </cell>
          <cell r="C496" t="str">
            <v>Correas G 200x 80x 30x 4</v>
          </cell>
          <cell r="D496">
            <v>12.6</v>
          </cell>
          <cell r="E496">
            <v>12.6</v>
          </cell>
          <cell r="G496">
            <v>0</v>
          </cell>
        </row>
        <row r="497">
          <cell r="A497">
            <v>494</v>
          </cell>
          <cell r="B497" t="str">
            <v>PERFIL DOBLADO CORREA G</v>
          </cell>
          <cell r="C497" t="str">
            <v>Correas G 200x 80x 30x 5</v>
          </cell>
          <cell r="D497">
            <v>15.48</v>
          </cell>
          <cell r="E497">
            <v>15.48</v>
          </cell>
          <cell r="G497">
            <v>0</v>
          </cell>
        </row>
        <row r="498">
          <cell r="A498">
            <v>495</v>
          </cell>
          <cell r="B498" t="str">
            <v>PERFIL DOBLADO CORREA G</v>
          </cell>
          <cell r="C498" t="str">
            <v>Correas G 200x 80x 30x 6</v>
          </cell>
          <cell r="D498">
            <v>18.260000000000002</v>
          </cell>
          <cell r="E498">
            <v>18.260000000000002</v>
          </cell>
          <cell r="G498">
            <v>0</v>
          </cell>
        </row>
        <row r="499">
          <cell r="A499">
            <v>496</v>
          </cell>
          <cell r="B499" t="str">
            <v>PERFIL DOBLADO CORREA G</v>
          </cell>
          <cell r="C499" t="str">
            <v>Correas G 250x 100x 30x 4</v>
          </cell>
          <cell r="D499">
            <v>15.48</v>
          </cell>
          <cell r="E499">
            <v>15.48</v>
          </cell>
          <cell r="G499">
            <v>0</v>
          </cell>
        </row>
        <row r="500">
          <cell r="A500">
            <v>497</v>
          </cell>
          <cell r="B500" t="str">
            <v>PERFIL DOBLADO CORREA G</v>
          </cell>
          <cell r="C500" t="str">
            <v>Correas G 250x 100x 30x 5</v>
          </cell>
          <cell r="D500">
            <v>19.079999999999998</v>
          </cell>
          <cell r="E500">
            <v>19.079999999999998</v>
          </cell>
          <cell r="G500">
            <v>0</v>
          </cell>
        </row>
        <row r="501">
          <cell r="A501">
            <v>498</v>
          </cell>
          <cell r="B501" t="str">
            <v>PERFIL DOBLADO CORREA G</v>
          </cell>
          <cell r="C501" t="str">
            <v>Correas G 250x 100x 30x 6</v>
          </cell>
          <cell r="D501">
            <v>22.58</v>
          </cell>
          <cell r="E501">
            <v>22.58</v>
          </cell>
          <cell r="G501">
            <v>0</v>
          </cell>
        </row>
        <row r="502">
          <cell r="A502">
            <v>499</v>
          </cell>
          <cell r="B502" t="str">
            <v>PERFIL DOBLADO CORREA Z</v>
          </cell>
          <cell r="C502" t="str">
            <v>Correas Z 80x 40x 15x 2</v>
          </cell>
          <cell r="D502">
            <v>2.78</v>
          </cell>
          <cell r="E502">
            <v>2.78</v>
          </cell>
          <cell r="G502">
            <v>0</v>
          </cell>
        </row>
        <row r="503">
          <cell r="A503">
            <v>500</v>
          </cell>
          <cell r="B503" t="str">
            <v>PERFIL DOBLADO CORREA Z</v>
          </cell>
          <cell r="C503" t="str">
            <v>Correas Z 80x 40x 15x 3</v>
          </cell>
          <cell r="D503">
            <v>4.01</v>
          </cell>
          <cell r="E503">
            <v>4.01</v>
          </cell>
          <cell r="G503">
            <v>0</v>
          </cell>
        </row>
        <row r="504">
          <cell r="A504">
            <v>501</v>
          </cell>
          <cell r="B504" t="str">
            <v>PERFIL DOBLADO CORREA Z</v>
          </cell>
          <cell r="C504" t="str">
            <v>Correas Z 100x 15x 2</v>
          </cell>
          <cell r="D504">
            <v>3.4</v>
          </cell>
          <cell r="E504">
            <v>3.4</v>
          </cell>
          <cell r="G504">
            <v>0</v>
          </cell>
        </row>
        <row r="505">
          <cell r="A505">
            <v>502</v>
          </cell>
          <cell r="B505" t="str">
            <v>PERFIL DOBLADO CORREA Z</v>
          </cell>
          <cell r="C505" t="str">
            <v>Correas Z 100x 15x 3</v>
          </cell>
          <cell r="D505">
            <v>4.95</v>
          </cell>
          <cell r="E505">
            <v>4.95</v>
          </cell>
          <cell r="G505">
            <v>0</v>
          </cell>
        </row>
        <row r="506">
          <cell r="A506">
            <v>503</v>
          </cell>
          <cell r="B506" t="str">
            <v>PERFIL DOBLADO CORREA Z</v>
          </cell>
          <cell r="C506" t="str">
            <v>Correas Z 100x 30x 4</v>
          </cell>
          <cell r="D506">
            <v>7.47</v>
          </cell>
          <cell r="E506">
            <v>7.47</v>
          </cell>
          <cell r="G506">
            <v>0</v>
          </cell>
        </row>
        <row r="507">
          <cell r="A507">
            <v>504</v>
          </cell>
          <cell r="B507" t="str">
            <v>PERFIL DOBLADO CORREA Z</v>
          </cell>
          <cell r="C507" t="str">
            <v>Correas Z 100x 30x 5</v>
          </cell>
          <cell r="D507">
            <v>9.08</v>
          </cell>
          <cell r="E507">
            <v>9.08</v>
          </cell>
          <cell r="G507">
            <v>0</v>
          </cell>
        </row>
        <row r="508">
          <cell r="A508">
            <v>505</v>
          </cell>
          <cell r="B508" t="str">
            <v>PERFIL DOBLADO CORREA Z</v>
          </cell>
          <cell r="C508" t="str">
            <v>Correas Z 100x 30x 6</v>
          </cell>
          <cell r="D508">
            <v>10.58</v>
          </cell>
          <cell r="E508">
            <v>10.58</v>
          </cell>
          <cell r="G508">
            <v>0</v>
          </cell>
        </row>
        <row r="509">
          <cell r="A509">
            <v>506</v>
          </cell>
          <cell r="B509" t="str">
            <v>PERFIL DOBLADO CORREA Z</v>
          </cell>
          <cell r="C509" t="str">
            <v>Correas Z 125x 50x 15x 2</v>
          </cell>
          <cell r="D509">
            <v>3.8</v>
          </cell>
          <cell r="E509">
            <v>3.8</v>
          </cell>
          <cell r="G509">
            <v>0</v>
          </cell>
        </row>
        <row r="510">
          <cell r="A510">
            <v>507</v>
          </cell>
          <cell r="B510" t="str">
            <v>PERFIL DOBLADO CORREA Z</v>
          </cell>
          <cell r="C510" t="str">
            <v xml:space="preserve">Correas Z 125x 50x 15x 3 </v>
          </cell>
          <cell r="D510">
            <v>5.54</v>
          </cell>
          <cell r="E510">
            <v>5.54</v>
          </cell>
          <cell r="G510">
            <v>0</v>
          </cell>
        </row>
        <row r="511">
          <cell r="A511">
            <v>508</v>
          </cell>
          <cell r="B511" t="str">
            <v>PERFIL DOBLADO CORREA Z</v>
          </cell>
          <cell r="C511" t="str">
            <v>Correas Z 125x 50x 15x 4</v>
          </cell>
          <cell r="D511">
            <v>8.27</v>
          </cell>
          <cell r="E511">
            <v>8.27</v>
          </cell>
          <cell r="G511">
            <v>0</v>
          </cell>
        </row>
        <row r="512">
          <cell r="A512">
            <v>509</v>
          </cell>
          <cell r="B512" t="str">
            <v>PERFIL DOBLADO CORREA Z</v>
          </cell>
          <cell r="C512" t="str">
            <v>Correas Z 125x 50x 15x 5</v>
          </cell>
          <cell r="D512">
            <v>10.08</v>
          </cell>
          <cell r="E512">
            <v>10.08</v>
          </cell>
          <cell r="G512">
            <v>0</v>
          </cell>
        </row>
        <row r="513">
          <cell r="A513">
            <v>510</v>
          </cell>
          <cell r="B513" t="str">
            <v>PERFIL DOBLADO CORREA Z</v>
          </cell>
          <cell r="C513" t="str">
            <v>Correas Z 125x 50x 15x 6</v>
          </cell>
          <cell r="D513">
            <v>11.78</v>
          </cell>
          <cell r="E513">
            <v>11.78</v>
          </cell>
          <cell r="G513">
            <v>0</v>
          </cell>
        </row>
        <row r="514">
          <cell r="A514">
            <v>511</v>
          </cell>
          <cell r="B514" t="str">
            <v>PERFIL DOBLADO CORREA Z</v>
          </cell>
          <cell r="C514" t="str">
            <v>Correas Z 150x 50x 15x 2</v>
          </cell>
          <cell r="D514">
            <v>4.1900000000000004</v>
          </cell>
          <cell r="E514">
            <v>4.1900000000000004</v>
          </cell>
          <cell r="G514">
            <v>0</v>
          </cell>
        </row>
        <row r="515">
          <cell r="A515">
            <v>512</v>
          </cell>
          <cell r="B515" t="str">
            <v>PERFIL DOBLADO CORREA Z</v>
          </cell>
          <cell r="C515" t="str">
            <v>Correas Z 150x 50x 15x 3</v>
          </cell>
          <cell r="D515">
            <v>6.13</v>
          </cell>
          <cell r="E515">
            <v>6.13</v>
          </cell>
          <cell r="G515">
            <v>0</v>
          </cell>
        </row>
        <row r="516">
          <cell r="A516">
            <v>513</v>
          </cell>
          <cell r="B516" t="str">
            <v>PERFIL DOBLADO CORREA Z</v>
          </cell>
          <cell r="C516" t="str">
            <v>Correas Z 150x 60x 30x 4</v>
          </cell>
          <cell r="D516">
            <v>9.7200000000000006</v>
          </cell>
          <cell r="E516">
            <v>9.7200000000000006</v>
          </cell>
          <cell r="G516">
            <v>0</v>
          </cell>
        </row>
        <row r="517">
          <cell r="A517">
            <v>514</v>
          </cell>
          <cell r="B517" t="str">
            <v>PERFIL DOBLADO CORREA Z</v>
          </cell>
          <cell r="C517" t="str">
            <v>Correas Z 150x 60x 30x 5</v>
          </cell>
          <cell r="D517">
            <v>11.88</v>
          </cell>
          <cell r="E517">
            <v>11.88</v>
          </cell>
          <cell r="G517">
            <v>0</v>
          </cell>
        </row>
        <row r="518">
          <cell r="A518">
            <v>515</v>
          </cell>
          <cell r="B518" t="str">
            <v>PERFIL DOBLADO CORREA Z</v>
          </cell>
          <cell r="C518" t="str">
            <v>Correas Z 150x 60x 30x 6</v>
          </cell>
          <cell r="D518">
            <v>13.94</v>
          </cell>
          <cell r="E518">
            <v>13.94</v>
          </cell>
          <cell r="G518">
            <v>0</v>
          </cell>
        </row>
        <row r="519">
          <cell r="A519">
            <v>516</v>
          </cell>
          <cell r="B519" t="str">
            <v>PERFIL DOBLADO CORREA Z</v>
          </cell>
          <cell r="C519" t="str">
            <v>Correas Z 200x 50x 15x 2</v>
          </cell>
          <cell r="D519">
            <v>4.99</v>
          </cell>
          <cell r="E519">
            <v>4.99</v>
          </cell>
          <cell r="G519">
            <v>0</v>
          </cell>
        </row>
        <row r="520">
          <cell r="A520">
            <v>517</v>
          </cell>
          <cell r="B520" t="str">
            <v>PERFIL DOBLADO CORREA Z</v>
          </cell>
          <cell r="C520" t="str">
            <v>Correas Z 200x 50x 15x 3</v>
          </cell>
          <cell r="D520">
            <v>7.31</v>
          </cell>
          <cell r="E520">
            <v>7.31</v>
          </cell>
          <cell r="G520">
            <v>0</v>
          </cell>
        </row>
        <row r="521">
          <cell r="A521">
            <v>518</v>
          </cell>
          <cell r="B521" t="str">
            <v>PERFIL DOBLADO CORREA Z</v>
          </cell>
          <cell r="C521" t="str">
            <v>Correas Z 200x 80x 4</v>
          </cell>
          <cell r="D521">
            <v>12.6</v>
          </cell>
          <cell r="E521">
            <v>12.6</v>
          </cell>
          <cell r="G521">
            <v>0</v>
          </cell>
        </row>
        <row r="522">
          <cell r="A522">
            <v>519</v>
          </cell>
          <cell r="B522" t="str">
            <v>PERFIL DOBLADO CORREA Z</v>
          </cell>
          <cell r="C522" t="str">
            <v>Correas Z 200x 80x 5</v>
          </cell>
          <cell r="D522">
            <v>15.48</v>
          </cell>
          <cell r="E522">
            <v>15.48</v>
          </cell>
          <cell r="G522">
            <v>0</v>
          </cell>
        </row>
        <row r="523">
          <cell r="A523">
            <v>520</v>
          </cell>
          <cell r="B523" t="str">
            <v>PERFIL DOBLADO CORREA Z</v>
          </cell>
          <cell r="C523" t="str">
            <v>Correas Z 200x 80x 6</v>
          </cell>
          <cell r="D523">
            <v>18.260000000000002</v>
          </cell>
          <cell r="E523">
            <v>18.260000000000002</v>
          </cell>
          <cell r="G523">
            <v>0</v>
          </cell>
        </row>
        <row r="524">
          <cell r="A524">
            <v>521</v>
          </cell>
          <cell r="B524" t="str">
            <v>PERFIL DOBLADO CORREA Z</v>
          </cell>
          <cell r="C524" t="str">
            <v>Correas Z 250x 100x 30x 4</v>
          </cell>
          <cell r="D524">
            <v>15.48</v>
          </cell>
          <cell r="E524">
            <v>15.48</v>
          </cell>
          <cell r="G524">
            <v>0</v>
          </cell>
        </row>
        <row r="525">
          <cell r="A525">
            <v>522</v>
          </cell>
          <cell r="B525" t="str">
            <v>PERFIL DOBLADO CORREA Z</v>
          </cell>
          <cell r="C525" t="str">
            <v>Correas Z 250x 100x 30x 5</v>
          </cell>
          <cell r="D525">
            <v>19.079999999999998</v>
          </cell>
          <cell r="E525">
            <v>19.079999999999998</v>
          </cell>
          <cell r="G525">
            <v>0</v>
          </cell>
        </row>
        <row r="526">
          <cell r="A526">
            <v>523</v>
          </cell>
          <cell r="B526" t="str">
            <v>PERFIL DOBLADO CORREA Z</v>
          </cell>
          <cell r="C526" t="str">
            <v>Correas Z 250x 100x 30x 6</v>
          </cell>
          <cell r="D526">
            <v>22.58</v>
          </cell>
          <cell r="E526">
            <v>22.58</v>
          </cell>
          <cell r="G526">
            <v>0</v>
          </cell>
        </row>
        <row r="527">
          <cell r="A527">
            <v>524</v>
          </cell>
          <cell r="B527" t="str">
            <v>ROFFTEC CORREA Z</v>
          </cell>
          <cell r="C527" t="str">
            <v>Correa Z 64x 32x 10x 1,00</v>
          </cell>
          <cell r="D527">
            <v>1.1100000000000001</v>
          </cell>
          <cell r="E527">
            <v>1.1100000000000001</v>
          </cell>
          <cell r="G527">
            <v>0</v>
          </cell>
        </row>
        <row r="528">
          <cell r="A528">
            <v>525</v>
          </cell>
          <cell r="B528" t="str">
            <v>ROFFTEC CORREA Z</v>
          </cell>
          <cell r="C528" t="str">
            <v>Correa Z 64x 32x 10x 1,20</v>
          </cell>
          <cell r="D528">
            <v>1.32</v>
          </cell>
          <cell r="E528">
            <v>1.32</v>
          </cell>
          <cell r="G528">
            <v>0</v>
          </cell>
        </row>
        <row r="529">
          <cell r="A529">
            <v>526</v>
          </cell>
          <cell r="B529" t="str">
            <v>ROFFTEC CORREA Z</v>
          </cell>
          <cell r="C529" t="str">
            <v>Correa Z 75x 38x 10x 1,00</v>
          </cell>
          <cell r="D529">
            <v>1.29</v>
          </cell>
          <cell r="E529">
            <v>1.29</v>
          </cell>
          <cell r="G529">
            <v>0</v>
          </cell>
        </row>
        <row r="530">
          <cell r="A530">
            <v>527</v>
          </cell>
          <cell r="B530" t="str">
            <v>ROFFTEC CORREA Z</v>
          </cell>
          <cell r="C530" t="str">
            <v>Correa Z 75x 38x 10x 1,20</v>
          </cell>
          <cell r="D530">
            <v>1.54</v>
          </cell>
          <cell r="E530">
            <v>1.54</v>
          </cell>
          <cell r="G530">
            <v>0</v>
          </cell>
        </row>
        <row r="531">
          <cell r="A531">
            <v>528</v>
          </cell>
          <cell r="B531" t="str">
            <v>ROFFTEC CORREA Z</v>
          </cell>
          <cell r="C531" t="str">
            <v>Correa Z 100x 38x 10x 1,00</v>
          </cell>
          <cell r="D531">
            <v>1.47</v>
          </cell>
          <cell r="E531">
            <v>1.47</v>
          </cell>
          <cell r="G531">
            <v>0</v>
          </cell>
        </row>
        <row r="532">
          <cell r="A532">
            <v>529</v>
          </cell>
          <cell r="B532" t="str">
            <v>ROFFTEC CORREA Z</v>
          </cell>
          <cell r="C532" t="str">
            <v>Correa Z 100x 38x 10x 1,20</v>
          </cell>
          <cell r="D532">
            <v>1.75</v>
          </cell>
          <cell r="E532">
            <v>1.75</v>
          </cell>
          <cell r="G532">
            <v>0</v>
          </cell>
        </row>
        <row r="533">
          <cell r="A533">
            <v>530</v>
          </cell>
          <cell r="B533" t="str">
            <v>ROFFTEC CORREA Z</v>
          </cell>
          <cell r="C533" t="str">
            <v>Correa Z 125x 38x 10x 1,00</v>
          </cell>
          <cell r="D533">
            <v>1.66</v>
          </cell>
          <cell r="E533">
            <v>1.66</v>
          </cell>
          <cell r="G533">
            <v>0</v>
          </cell>
        </row>
        <row r="534">
          <cell r="A534">
            <v>531</v>
          </cell>
          <cell r="B534" t="str">
            <v>ROFFTEC CORREA Z</v>
          </cell>
          <cell r="C534" t="str">
            <v>Correa Z 125x 38x 11x 1,20</v>
          </cell>
          <cell r="D534">
            <v>1.99</v>
          </cell>
          <cell r="E534">
            <v>1.99</v>
          </cell>
          <cell r="G534">
            <v>0</v>
          </cell>
        </row>
        <row r="535">
          <cell r="A535">
            <v>532</v>
          </cell>
          <cell r="B535" t="str">
            <v>ROFFTEC CORREA Z</v>
          </cell>
          <cell r="C535" t="str">
            <v>Correa Z 125x 38x 12x 1,40</v>
          </cell>
          <cell r="D535">
            <v>2.31</v>
          </cell>
          <cell r="E535">
            <v>2.31</v>
          </cell>
          <cell r="G535">
            <v>0</v>
          </cell>
        </row>
        <row r="536">
          <cell r="A536">
            <v>533</v>
          </cell>
          <cell r="B536" t="str">
            <v>ROFFTEC CORREA Z</v>
          </cell>
          <cell r="C536" t="str">
            <v>Correa Z 125x 38x 13x 1,60</v>
          </cell>
          <cell r="D536">
            <v>2.62</v>
          </cell>
          <cell r="E536">
            <v>2.62</v>
          </cell>
          <cell r="G536">
            <v>0</v>
          </cell>
        </row>
        <row r="537">
          <cell r="A537">
            <v>534</v>
          </cell>
          <cell r="B537" t="str">
            <v>ROFFTEC CORREA Z</v>
          </cell>
          <cell r="C537" t="str">
            <v>Correa Z 125x 50x 10x 1,40</v>
          </cell>
          <cell r="D537">
            <v>2.57</v>
          </cell>
          <cell r="E537">
            <v>2.57</v>
          </cell>
          <cell r="G537">
            <v>0</v>
          </cell>
        </row>
        <row r="538">
          <cell r="A538">
            <v>535</v>
          </cell>
          <cell r="B538" t="str">
            <v>ROFFTEC CORREA Z</v>
          </cell>
          <cell r="C538" t="str">
            <v>Correa Z 125x 50x 11x 1,60</v>
          </cell>
          <cell r="D538">
            <v>2.93</v>
          </cell>
          <cell r="E538">
            <v>2.93</v>
          </cell>
          <cell r="G538">
            <v>0</v>
          </cell>
        </row>
        <row r="539">
          <cell r="A539">
            <v>536</v>
          </cell>
          <cell r="B539" t="str">
            <v>ROFFTEC CORREA Z</v>
          </cell>
          <cell r="C539" t="str">
            <v>Correa Z 150x 38x 10x 1,40</v>
          </cell>
          <cell r="D539">
            <v>2.58</v>
          </cell>
          <cell r="E539">
            <v>2.58</v>
          </cell>
          <cell r="G539">
            <v>0</v>
          </cell>
        </row>
        <row r="540">
          <cell r="A540">
            <v>537</v>
          </cell>
          <cell r="B540" t="str">
            <v>ROFFTEC CORREA Z</v>
          </cell>
          <cell r="C540" t="str">
            <v>Correa Z 150x 38x 10x 1,60</v>
          </cell>
          <cell r="D540">
            <v>2.94</v>
          </cell>
          <cell r="E540">
            <v>2.94</v>
          </cell>
          <cell r="G540">
            <v>0</v>
          </cell>
        </row>
        <row r="541">
          <cell r="A541">
            <v>538</v>
          </cell>
          <cell r="B541" t="str">
            <v>ROFFTEC CORREA Z</v>
          </cell>
          <cell r="C541" t="str">
            <v>Correa Z 150x 50x 10x 1,40</v>
          </cell>
          <cell r="D541">
            <v>2.85</v>
          </cell>
          <cell r="E541">
            <v>2.85</v>
          </cell>
          <cell r="G541">
            <v>0</v>
          </cell>
        </row>
        <row r="542">
          <cell r="A542">
            <v>539</v>
          </cell>
          <cell r="B542" t="str">
            <v>ROFFTEC CORREA Z</v>
          </cell>
          <cell r="C542" t="str">
            <v>Correa Z 150x 50x 10x 1,60</v>
          </cell>
          <cell r="D542">
            <v>3.24</v>
          </cell>
          <cell r="E542">
            <v>3.24</v>
          </cell>
          <cell r="G542">
            <v>0</v>
          </cell>
        </row>
        <row r="543">
          <cell r="A543">
            <v>540</v>
          </cell>
          <cell r="B543" t="str">
            <v>ROFFTEC CORREA Z</v>
          </cell>
          <cell r="C543" t="str">
            <v>Correa Z 175x 38x 10x 1,40</v>
          </cell>
          <cell r="D543">
            <v>2.86</v>
          </cell>
          <cell r="E543">
            <v>2.86</v>
          </cell>
          <cell r="G543">
            <v>0</v>
          </cell>
        </row>
        <row r="544">
          <cell r="A544">
            <v>541</v>
          </cell>
          <cell r="B544" t="str">
            <v>ROFFTEC CORREA Z</v>
          </cell>
          <cell r="C544" t="str">
            <v>Correa Z 175x 38x 10x 1,60</v>
          </cell>
          <cell r="D544">
            <v>3.25</v>
          </cell>
          <cell r="E544">
            <v>3.25</v>
          </cell>
          <cell r="G544">
            <v>0</v>
          </cell>
        </row>
        <row r="545">
          <cell r="A545">
            <v>542</v>
          </cell>
          <cell r="B545" t="str">
            <v>ROFFTEC CORREA Z</v>
          </cell>
          <cell r="C545" t="str">
            <v>Correa Z 175x 50x 10x 1,40</v>
          </cell>
          <cell r="D545">
            <v>3.13</v>
          </cell>
          <cell r="E545">
            <v>3.13</v>
          </cell>
          <cell r="G545">
            <v>0</v>
          </cell>
        </row>
        <row r="546">
          <cell r="A546">
            <v>543</v>
          </cell>
          <cell r="B546" t="str">
            <v>ROFFTEC CORREA Z</v>
          </cell>
          <cell r="C546" t="str">
            <v>Correa Z 175x 50x 10x 1,60</v>
          </cell>
          <cell r="D546">
            <v>3.55</v>
          </cell>
          <cell r="E546">
            <v>3.55</v>
          </cell>
          <cell r="G546">
            <v>0</v>
          </cell>
        </row>
        <row r="547">
          <cell r="A547">
            <v>544</v>
          </cell>
          <cell r="B547" t="str">
            <v>ROFFTEC CORREA Z</v>
          </cell>
          <cell r="C547" t="str">
            <v>Correa Z 200x 50x 10x 1,40</v>
          </cell>
          <cell r="D547">
            <v>3.39</v>
          </cell>
          <cell r="E547">
            <v>3.39</v>
          </cell>
          <cell r="G547">
            <v>0</v>
          </cell>
        </row>
        <row r="548">
          <cell r="A548">
            <v>545</v>
          </cell>
          <cell r="B548" t="str">
            <v>ROFFTEC CORREA Z</v>
          </cell>
          <cell r="C548" t="str">
            <v>Correa Z 200x 50x 10x 1,60</v>
          </cell>
          <cell r="D548">
            <v>3.87</v>
          </cell>
          <cell r="E548">
            <v>3.87</v>
          </cell>
          <cell r="G548">
            <v>0</v>
          </cell>
        </row>
        <row r="549">
          <cell r="A549">
            <v>546</v>
          </cell>
          <cell r="B549" t="str">
            <v>ZADELCA MALLA ELECTROSOLDADA 6 x 2.4 m</v>
          </cell>
          <cell r="C549" t="str">
            <v>Malla antisismica  8 x 15</v>
          </cell>
          <cell r="D549">
            <v>75.84</v>
          </cell>
          <cell r="E549">
            <v>75.84</v>
          </cell>
          <cell r="G549">
            <v>0</v>
          </cell>
        </row>
        <row r="550">
          <cell r="A550">
            <v>547</v>
          </cell>
          <cell r="B550" t="str">
            <v>ZADELCA MALLA ELECTROSOLDADA 6 x 2.4 m</v>
          </cell>
          <cell r="C550" t="str">
            <v>Malla antisismica 8 x 20</v>
          </cell>
          <cell r="D550">
            <v>56.88</v>
          </cell>
          <cell r="E550">
            <v>56.88</v>
          </cell>
          <cell r="G550">
            <v>0</v>
          </cell>
        </row>
        <row r="551">
          <cell r="A551">
            <v>548</v>
          </cell>
          <cell r="B551" t="str">
            <v>ZADELCA MALLA ELECTROSOLDADA 6 x 2.4 m</v>
          </cell>
          <cell r="C551" t="str">
            <v>Malla antisismica 8 x 50</v>
          </cell>
          <cell r="D551">
            <v>24.17</v>
          </cell>
          <cell r="E551">
            <v>24.17</v>
          </cell>
          <cell r="G551">
            <v>0</v>
          </cell>
        </row>
        <row r="552">
          <cell r="A552">
            <v>549</v>
          </cell>
          <cell r="B552" t="str">
            <v>ZADELCA MALLA ELECTROSOLDADA 6 x 2.4 m</v>
          </cell>
          <cell r="C552" t="str">
            <v>Malla antisismica 10 x15</v>
          </cell>
          <cell r="D552">
            <v>118.46</v>
          </cell>
          <cell r="E552">
            <v>118.46</v>
          </cell>
          <cell r="G552">
            <v>0</v>
          </cell>
        </row>
        <row r="553">
          <cell r="A553">
            <v>550</v>
          </cell>
          <cell r="B553" t="str">
            <v>ZADELCA MALLA ELECTROSOLDADA 6 x 2.4 m</v>
          </cell>
          <cell r="C553" t="str">
            <v>Malla antisismica 10 x20</v>
          </cell>
          <cell r="D553">
            <v>88.85</v>
          </cell>
          <cell r="E553">
            <v>88.85</v>
          </cell>
          <cell r="G553">
            <v>0</v>
          </cell>
        </row>
        <row r="554">
          <cell r="A554">
            <v>551</v>
          </cell>
          <cell r="B554" t="str">
            <v>ZADELCA MALLA ELECTROSOLDADA 6 x 2.4 m</v>
          </cell>
          <cell r="C554" t="str">
            <v>Malla antisismica 10 x 50</v>
          </cell>
          <cell r="D554">
            <v>37.76</v>
          </cell>
          <cell r="E554">
            <v>37.76</v>
          </cell>
          <cell r="G554">
            <v>0</v>
          </cell>
        </row>
        <row r="555">
          <cell r="A555">
            <v>552</v>
          </cell>
          <cell r="B555" t="str">
            <v>ZADELCA MALLA ELECTROSOLDADA 6 x 2.4 m</v>
          </cell>
          <cell r="C555" t="str">
            <v>Malla antisismica 12 x 20</v>
          </cell>
          <cell r="D555">
            <v>127.87</v>
          </cell>
          <cell r="E555">
            <v>127.87</v>
          </cell>
          <cell r="G555">
            <v>0</v>
          </cell>
        </row>
        <row r="556">
          <cell r="A556">
            <v>553</v>
          </cell>
          <cell r="B556" t="str">
            <v>ZADELCA MALLA ELECTROSOLDADA 6 x 2.4 m</v>
          </cell>
          <cell r="C556" t="str">
            <v>Malla antisismica 12 x 50</v>
          </cell>
          <cell r="D556">
            <v>54.35</v>
          </cell>
          <cell r="E556">
            <v>54.35</v>
          </cell>
          <cell r="G556">
            <v>0</v>
          </cell>
        </row>
        <row r="557">
          <cell r="A557">
            <v>554</v>
          </cell>
          <cell r="B557" t="str">
            <v>ZADELCA VARILLA CORRUGADA</v>
          </cell>
          <cell r="C557" t="str">
            <v>Varilla corrugada  8mm</v>
          </cell>
          <cell r="D557">
            <v>0.39500000000000002</v>
          </cell>
          <cell r="E557">
            <v>0.39500000000000002</v>
          </cell>
          <cell r="G557">
            <v>0</v>
          </cell>
        </row>
        <row r="558">
          <cell r="A558">
            <v>555</v>
          </cell>
          <cell r="B558" t="str">
            <v>ZADELCA VARILLA CORRUGADA</v>
          </cell>
          <cell r="C558" t="str">
            <v>Varilla corrugada  10mm</v>
          </cell>
          <cell r="D558">
            <v>0.61699999999999999</v>
          </cell>
          <cell r="E558">
            <v>0.61699999999999999</v>
          </cell>
          <cell r="G558">
            <v>0</v>
          </cell>
        </row>
        <row r="559">
          <cell r="A559">
            <v>556</v>
          </cell>
          <cell r="B559" t="str">
            <v>ZADELCA VARILLA CORRUGADA</v>
          </cell>
          <cell r="C559" t="str">
            <v>Varilla Lisa  12mm</v>
          </cell>
          <cell r="D559">
            <v>0.88800000000000001</v>
          </cell>
          <cell r="E559">
            <v>0.88800000000000001</v>
          </cell>
          <cell r="G559">
            <v>0</v>
          </cell>
        </row>
        <row r="560">
          <cell r="A560">
            <v>557</v>
          </cell>
          <cell r="B560" t="str">
            <v>ZADELCA VARILLA CORRUGADA</v>
          </cell>
          <cell r="C560" t="str">
            <v>Varilla corrugada  14mm</v>
          </cell>
          <cell r="D560">
            <v>1.208</v>
          </cell>
          <cell r="E560">
            <v>1.208</v>
          </cell>
          <cell r="G560">
            <v>0</v>
          </cell>
        </row>
        <row r="561">
          <cell r="A561">
            <v>558</v>
          </cell>
          <cell r="B561" t="str">
            <v>ZADELCA VARILLA CORRUGADA</v>
          </cell>
          <cell r="C561" t="str">
            <v>Varilla corrugada  16mm</v>
          </cell>
          <cell r="D561">
            <v>1.5780000000000001</v>
          </cell>
          <cell r="E561">
            <v>1.5780000000000001</v>
          </cell>
          <cell r="G561">
            <v>0</v>
          </cell>
        </row>
        <row r="562">
          <cell r="A562">
            <v>559</v>
          </cell>
          <cell r="B562" t="str">
            <v>ZADELCA VARILLA CORRUGADA</v>
          </cell>
          <cell r="C562" t="str">
            <v>Varilla corrugada  18mm</v>
          </cell>
          <cell r="D562">
            <v>1.998</v>
          </cell>
          <cell r="E562">
            <v>1.998</v>
          </cell>
          <cell r="G562">
            <v>0</v>
          </cell>
        </row>
        <row r="563">
          <cell r="A563">
            <v>560</v>
          </cell>
          <cell r="B563" t="str">
            <v>ZADELCA VARILLA CORRUGADA</v>
          </cell>
          <cell r="C563" t="str">
            <v>Varilla corrugada  20mm</v>
          </cell>
          <cell r="D563">
            <v>2.4660000000000002</v>
          </cell>
          <cell r="E563">
            <v>2.4660000000000002</v>
          </cell>
          <cell r="G563">
            <v>0</v>
          </cell>
        </row>
        <row r="564">
          <cell r="A564">
            <v>561</v>
          </cell>
          <cell r="B564" t="str">
            <v>ZADELCA VARILLA CORRUGADA</v>
          </cell>
          <cell r="C564" t="str">
            <v>Varilla corrugada  22mm</v>
          </cell>
          <cell r="D564">
            <v>2.984</v>
          </cell>
          <cell r="E564">
            <v>2.984</v>
          </cell>
          <cell r="G564">
            <v>0</v>
          </cell>
        </row>
        <row r="565">
          <cell r="A565">
            <v>562</v>
          </cell>
          <cell r="B565" t="str">
            <v>ZADELCA VARILLA CORRUGADA</v>
          </cell>
          <cell r="C565" t="str">
            <v>Varilla corrugada  25mm</v>
          </cell>
          <cell r="D565">
            <v>3.8530000000000002</v>
          </cell>
          <cell r="E565">
            <v>3.8530000000000002</v>
          </cell>
          <cell r="G565">
            <v>0</v>
          </cell>
        </row>
        <row r="566">
          <cell r="A566">
            <v>563</v>
          </cell>
          <cell r="B566" t="str">
            <v>ZADELCA VARILLA CORRUGADA</v>
          </cell>
          <cell r="C566" t="str">
            <v>Varilla corrugada  28mm</v>
          </cell>
          <cell r="D566">
            <v>4.8339999999999996</v>
          </cell>
          <cell r="E566">
            <v>4.8339999999999996</v>
          </cell>
          <cell r="G566">
            <v>0</v>
          </cell>
        </row>
        <row r="567">
          <cell r="A567">
            <v>564</v>
          </cell>
          <cell r="B567" t="str">
            <v>ZADELCA VARILLA CORRUGADA</v>
          </cell>
          <cell r="C567" t="str">
            <v>Varilla corrugada  32mm</v>
          </cell>
          <cell r="D567">
            <v>6.3129999999999997</v>
          </cell>
          <cell r="E567">
            <v>6.3129999999999997</v>
          </cell>
          <cell r="G567">
            <v>0</v>
          </cell>
        </row>
        <row r="568">
          <cell r="A568">
            <v>565</v>
          </cell>
          <cell r="B568" t="str">
            <v>ZADELCA VARILLA CORRUGADA</v>
          </cell>
          <cell r="C568" t="str">
            <v>Varilla corrugada  36mm</v>
          </cell>
          <cell r="D568">
            <v>7.99</v>
          </cell>
          <cell r="E568">
            <v>7.99</v>
          </cell>
          <cell r="G568">
            <v>0</v>
          </cell>
        </row>
        <row r="569">
          <cell r="A569">
            <v>566</v>
          </cell>
          <cell r="B569" t="str">
            <v>ZADELCA VARILLA CORRUGADA</v>
          </cell>
          <cell r="C569" t="str">
            <v>Varilla corrugada  40mm</v>
          </cell>
          <cell r="D569">
            <v>9.8650000000000002</v>
          </cell>
          <cell r="E569">
            <v>9.8650000000000002</v>
          </cell>
          <cell r="G569">
            <v>0</v>
          </cell>
        </row>
        <row r="570">
          <cell r="A570">
            <v>1001</v>
          </cell>
          <cell r="B570" t="str">
            <v xml:space="preserve">PERNOS CON TUERCA </v>
          </cell>
          <cell r="C570" t="str">
            <v>Perno 3/8" x 3/4" con tuerca</v>
          </cell>
          <cell r="D570">
            <v>0</v>
          </cell>
          <cell r="E570">
            <v>2.2916600000000002E-2</v>
          </cell>
        </row>
        <row r="571">
          <cell r="A571">
            <v>1002</v>
          </cell>
          <cell r="B571" t="str">
            <v xml:space="preserve">PERNOS CON TUERCA </v>
          </cell>
          <cell r="C571" t="str">
            <v>Perno 3/8" x 1" con tuerca</v>
          </cell>
          <cell r="D571">
            <v>0</v>
          </cell>
          <cell r="E571">
            <v>2.521E-2</v>
          </cell>
        </row>
        <row r="572">
          <cell r="A572">
            <v>1003</v>
          </cell>
          <cell r="B572" t="str">
            <v xml:space="preserve">PERNOS CON TUERCA </v>
          </cell>
          <cell r="C572" t="str">
            <v>Perno 3/8" x 1 1/4" con tuerca</v>
          </cell>
          <cell r="D572">
            <v>0</v>
          </cell>
          <cell r="E572">
            <v>2.8250000000000001E-2</v>
          </cell>
        </row>
        <row r="573">
          <cell r="A573">
            <v>1004</v>
          </cell>
          <cell r="B573" t="str">
            <v xml:space="preserve">PERNOS CON TUERCA </v>
          </cell>
          <cell r="C573" t="str">
            <v>Perno 3/8" x 1 1/2" con tuerca</v>
          </cell>
          <cell r="D573">
            <v>0</v>
          </cell>
          <cell r="E573">
            <v>3.2050000000000002E-2</v>
          </cell>
        </row>
        <row r="574">
          <cell r="A574">
            <v>1005</v>
          </cell>
          <cell r="B574" t="str">
            <v xml:space="preserve">PERNOS CON TUERCA </v>
          </cell>
          <cell r="C574" t="str">
            <v>Perno 3/8" x 2" con tuerca</v>
          </cell>
          <cell r="D574">
            <v>0</v>
          </cell>
          <cell r="E574">
            <v>3.9149999999999997E-2</v>
          </cell>
        </row>
        <row r="575">
          <cell r="A575">
            <v>1006</v>
          </cell>
          <cell r="B575" t="str">
            <v xml:space="preserve">PERNOS CON TUERCA </v>
          </cell>
          <cell r="C575" t="str">
            <v>Perno 1/2" x 1" con tuerca</v>
          </cell>
          <cell r="D575">
            <v>0</v>
          </cell>
          <cell r="E575">
            <v>5.4366600000000001E-2</v>
          </cell>
        </row>
        <row r="576">
          <cell r="A576">
            <v>1007</v>
          </cell>
          <cell r="B576" t="str">
            <v xml:space="preserve">PERNOS CON TUERCA </v>
          </cell>
          <cell r="C576" t="str">
            <v>Perno 1/2" x 1 1/2" con tuerca</v>
          </cell>
          <cell r="D576">
            <v>0</v>
          </cell>
          <cell r="E576">
            <v>6.6500000000000004E-2</v>
          </cell>
        </row>
        <row r="577">
          <cell r="A577">
            <v>1008</v>
          </cell>
          <cell r="B577" t="str">
            <v xml:space="preserve">PERNOS CON TUERCA </v>
          </cell>
          <cell r="C577" t="str">
            <v>Perno 1/2" x 2" con tuerca</v>
          </cell>
          <cell r="D577">
            <v>0</v>
          </cell>
          <cell r="E577">
            <v>7.9325000000000007E-2</v>
          </cell>
        </row>
        <row r="578">
          <cell r="A578">
            <v>1009</v>
          </cell>
          <cell r="B578" t="str">
            <v xml:space="preserve">PERNOS CON TUERCA </v>
          </cell>
          <cell r="C578" t="str">
            <v>Perno 1/2" x 2 1/2" con tuerca</v>
          </cell>
          <cell r="D578">
            <v>0</v>
          </cell>
          <cell r="E578">
            <v>9.2033300000000012E-2</v>
          </cell>
        </row>
        <row r="579">
          <cell r="A579">
            <v>1010</v>
          </cell>
          <cell r="B579" t="str">
            <v xml:space="preserve">PERNOS CON TUERCA </v>
          </cell>
          <cell r="C579" t="str">
            <v>Perno 1/2" x 3" con tuerca</v>
          </cell>
          <cell r="D579">
            <v>0</v>
          </cell>
          <cell r="E579">
            <v>0.1043</v>
          </cell>
        </row>
        <row r="580">
          <cell r="A580">
            <v>1011</v>
          </cell>
          <cell r="B580" t="str">
            <v xml:space="preserve">PERNOS CON TUERCA </v>
          </cell>
          <cell r="C580" t="str">
            <v>Perno 1/2" x 4" con tuerca</v>
          </cell>
          <cell r="D580">
            <v>0</v>
          </cell>
          <cell r="E580">
            <v>0.12970000000000001</v>
          </cell>
        </row>
        <row r="581">
          <cell r="A581">
            <v>1012</v>
          </cell>
          <cell r="B581" t="str">
            <v xml:space="preserve">PERNOS CON TUERCA </v>
          </cell>
          <cell r="C581" t="str">
            <v>Perno 1/2" x 5" con tuerca</v>
          </cell>
          <cell r="D581">
            <v>0</v>
          </cell>
          <cell r="E581">
            <v>0.1527</v>
          </cell>
        </row>
        <row r="582">
          <cell r="A582">
            <v>1013</v>
          </cell>
          <cell r="B582" t="str">
            <v xml:space="preserve">PERNOS CON TUERCA </v>
          </cell>
          <cell r="C582" t="str">
            <v>Perno 5/8" x 1" con tuerca</v>
          </cell>
          <cell r="D582">
            <v>0</v>
          </cell>
          <cell r="E582">
            <v>0.1010857</v>
          </cell>
        </row>
        <row r="583">
          <cell r="A583">
            <v>1014</v>
          </cell>
          <cell r="B583" t="str">
            <v xml:space="preserve">PERNOS CON TUERCA </v>
          </cell>
          <cell r="C583" t="str">
            <v>Perno 5/8" x 1 1/2" con tuerca</v>
          </cell>
          <cell r="D583">
            <v>0</v>
          </cell>
          <cell r="E583">
            <v>0.13819999999999999</v>
          </cell>
        </row>
        <row r="584">
          <cell r="A584">
            <v>1015</v>
          </cell>
          <cell r="B584" t="str">
            <v xml:space="preserve">PERNOS CON TUERCA </v>
          </cell>
          <cell r="C584" t="str">
            <v>Perno 5/8" x 2" con tuerca</v>
          </cell>
          <cell r="D584">
            <v>0</v>
          </cell>
          <cell r="E584">
            <v>0.1338</v>
          </cell>
        </row>
        <row r="585">
          <cell r="A585">
            <v>1016</v>
          </cell>
          <cell r="B585" t="str">
            <v xml:space="preserve">PERNOS CON TUERCA </v>
          </cell>
          <cell r="C585" t="str">
            <v>Perno 5/8" x 2 1/2" con tuerca</v>
          </cell>
          <cell r="D585">
            <v>0</v>
          </cell>
          <cell r="E585">
            <v>0.15529999999999999</v>
          </cell>
        </row>
        <row r="586">
          <cell r="A586">
            <v>1017</v>
          </cell>
          <cell r="B586" t="str">
            <v xml:space="preserve">PERNOS CON TUERCA </v>
          </cell>
          <cell r="C586" t="str">
            <v>Perno 5/8" x 3" con tuerca</v>
          </cell>
          <cell r="D586">
            <v>0</v>
          </cell>
          <cell r="E586">
            <v>0.17779999999999999</v>
          </cell>
        </row>
        <row r="587">
          <cell r="A587">
            <v>1018</v>
          </cell>
          <cell r="B587" t="str">
            <v xml:space="preserve">PERNOS CON TUERCA </v>
          </cell>
          <cell r="C587" t="str">
            <v>Perno 5/8" x 4" con tuerca</v>
          </cell>
          <cell r="D587">
            <v>0</v>
          </cell>
          <cell r="E587">
            <v>0.21240000000000001</v>
          </cell>
        </row>
        <row r="588">
          <cell r="A588">
            <v>1019</v>
          </cell>
          <cell r="B588" t="str">
            <v xml:space="preserve">PERNOS CON TUERCA </v>
          </cell>
          <cell r="C588" t="str">
            <v>Perno 5/8" x 5" con tuerca</v>
          </cell>
          <cell r="D588">
            <v>0</v>
          </cell>
          <cell r="E588">
            <v>0.24729999999999999</v>
          </cell>
        </row>
        <row r="589">
          <cell r="A589">
            <v>1020</v>
          </cell>
          <cell r="B589" t="str">
            <v xml:space="preserve">PERNOS CON TUERCA </v>
          </cell>
          <cell r="C589" t="str">
            <v>Perno 3/4" x 1 1/2" con tuerca</v>
          </cell>
          <cell r="D589">
            <v>0</v>
          </cell>
          <cell r="E589">
            <v>0.19055555555555556</v>
          </cell>
        </row>
        <row r="590">
          <cell r="A590">
            <v>1021</v>
          </cell>
          <cell r="B590" t="str">
            <v xml:space="preserve">PERNOS CON TUERCA </v>
          </cell>
          <cell r="C590" t="str">
            <v>Perno 3/4" x 2" con tuerca</v>
          </cell>
          <cell r="D590">
            <v>0</v>
          </cell>
          <cell r="E590">
            <v>0.21222215555555554</v>
          </cell>
        </row>
        <row r="591">
          <cell r="A591">
            <v>1022</v>
          </cell>
          <cell r="B591" t="str">
            <v xml:space="preserve">PERNOS CON TUERCA </v>
          </cell>
          <cell r="C591" t="str">
            <v>Perno 3/4" x 2 1/2" con tuerca</v>
          </cell>
          <cell r="D591">
            <v>0</v>
          </cell>
          <cell r="E591">
            <v>0.24035555555555554</v>
          </cell>
        </row>
        <row r="592">
          <cell r="A592">
            <v>1023</v>
          </cell>
          <cell r="B592" t="str">
            <v xml:space="preserve">PERNOS CON TUERCA </v>
          </cell>
          <cell r="C592" t="str">
            <v>Perno 3/4" x 3" con tuerca</v>
          </cell>
          <cell r="D592">
            <v>0</v>
          </cell>
          <cell r="E592">
            <v>0.27155555555555555</v>
          </cell>
        </row>
        <row r="593">
          <cell r="A593">
            <v>1024</v>
          </cell>
          <cell r="B593" t="str">
            <v xml:space="preserve">PERNOS CON TUERCA </v>
          </cell>
          <cell r="C593" t="str">
            <v>Perno 3/4" x 4" con tuerca</v>
          </cell>
          <cell r="D593">
            <v>0</v>
          </cell>
          <cell r="E593">
            <v>0.32488855555555557</v>
          </cell>
        </row>
        <row r="594">
          <cell r="A594">
            <v>1025</v>
          </cell>
          <cell r="B594" t="str">
            <v xml:space="preserve">PERNOS CON TUERCA </v>
          </cell>
          <cell r="C594" t="str">
            <v>Perno 3/4" x 5" con tuerca</v>
          </cell>
          <cell r="D594">
            <v>0</v>
          </cell>
          <cell r="E594">
            <v>0.37822222222222224</v>
          </cell>
        </row>
        <row r="595">
          <cell r="A595">
            <v>1026</v>
          </cell>
          <cell r="B595" t="str">
            <v>PERNOS</v>
          </cell>
          <cell r="C595" t="str">
            <v>Perno 3/8" x 3/4"</v>
          </cell>
          <cell r="D595">
            <v>0</v>
          </cell>
          <cell r="E595">
            <v>1.5866600000000002E-2</v>
          </cell>
        </row>
        <row r="596">
          <cell r="A596">
            <v>1027</v>
          </cell>
          <cell r="B596" t="str">
            <v>PERNOS</v>
          </cell>
          <cell r="C596" t="str">
            <v>Perno 3/8" x 1"</v>
          </cell>
          <cell r="D596">
            <v>0</v>
          </cell>
          <cell r="E596">
            <v>1.8159999999999999E-2</v>
          </cell>
        </row>
        <row r="597">
          <cell r="A597">
            <v>1028</v>
          </cell>
          <cell r="B597" t="str">
            <v>PERNOS</v>
          </cell>
          <cell r="C597" t="str">
            <v>Perno 3/8" x 1 1/4"</v>
          </cell>
          <cell r="D597">
            <v>0</v>
          </cell>
          <cell r="E597">
            <v>2.12E-2</v>
          </cell>
        </row>
        <row r="598">
          <cell r="A598">
            <v>1029</v>
          </cell>
          <cell r="B598" t="str">
            <v>PERNOS</v>
          </cell>
          <cell r="C598" t="str">
            <v>Perno 3/8" x 1 1/2"</v>
          </cell>
          <cell r="D598">
            <v>0</v>
          </cell>
          <cell r="E598">
            <v>2.5000000000000001E-2</v>
          </cell>
        </row>
        <row r="599">
          <cell r="A599">
            <v>1030</v>
          </cell>
          <cell r="B599" t="str">
            <v>PERNOS</v>
          </cell>
          <cell r="C599" t="str">
            <v>Perno 3/8" x 2"</v>
          </cell>
          <cell r="D599">
            <v>0</v>
          </cell>
          <cell r="E599">
            <v>3.2099999999999997E-2</v>
          </cell>
        </row>
        <row r="600">
          <cell r="A600">
            <v>1031</v>
          </cell>
          <cell r="B600" t="str">
            <v>PERNOS</v>
          </cell>
          <cell r="C600" t="str">
            <v>Perno 1/2" x 1"</v>
          </cell>
          <cell r="D600">
            <v>0</v>
          </cell>
          <cell r="E600">
            <v>3.7666600000000001E-2</v>
          </cell>
        </row>
        <row r="601">
          <cell r="A601">
            <v>1032</v>
          </cell>
          <cell r="B601" t="str">
            <v>PERNOS</v>
          </cell>
          <cell r="C601" t="str">
            <v>Perno 1/2" x 1 1/2"</v>
          </cell>
          <cell r="D601">
            <v>0</v>
          </cell>
          <cell r="E601">
            <v>4.9799999999999997E-2</v>
          </cell>
        </row>
        <row r="602">
          <cell r="A602">
            <v>1033</v>
          </cell>
          <cell r="B602" t="str">
            <v>PERNOS</v>
          </cell>
          <cell r="C602" t="str">
            <v>Perno 1/2" x 2"</v>
          </cell>
          <cell r="D602">
            <v>0</v>
          </cell>
          <cell r="E602">
            <v>6.2625E-2</v>
          </cell>
        </row>
        <row r="603">
          <cell r="A603">
            <v>1034</v>
          </cell>
          <cell r="B603" t="str">
            <v>PERNOS</v>
          </cell>
          <cell r="C603" t="str">
            <v>Perno 1/2" x 2 1/2"</v>
          </cell>
          <cell r="D603">
            <v>0</v>
          </cell>
          <cell r="E603">
            <v>7.5333300000000006E-2</v>
          </cell>
        </row>
        <row r="604">
          <cell r="A604">
            <v>1035</v>
          </cell>
          <cell r="B604" t="str">
            <v>PERNOS</v>
          </cell>
          <cell r="C604" t="str">
            <v>Perno 1/2" x 3"</v>
          </cell>
          <cell r="D604">
            <v>0</v>
          </cell>
          <cell r="E604">
            <v>8.7599999999999997E-2</v>
          </cell>
        </row>
        <row r="605">
          <cell r="A605">
            <v>1036</v>
          </cell>
          <cell r="B605" t="str">
            <v>PERNOS</v>
          </cell>
          <cell r="C605" t="str">
            <v>Perno 1/2" x 4"</v>
          </cell>
          <cell r="D605">
            <v>0</v>
          </cell>
          <cell r="E605">
            <v>0.113</v>
          </cell>
        </row>
        <row r="606">
          <cell r="A606">
            <v>1037</v>
          </cell>
          <cell r="B606" t="str">
            <v>PERNOS</v>
          </cell>
          <cell r="C606" t="str">
            <v>Perno 1/2" x 5"</v>
          </cell>
          <cell r="D606">
            <v>0</v>
          </cell>
          <cell r="E606">
            <v>0.13600000000000001</v>
          </cell>
        </row>
        <row r="607">
          <cell r="A607">
            <v>1038</v>
          </cell>
          <cell r="B607" t="str">
            <v>PERNOS</v>
          </cell>
          <cell r="C607" t="str">
            <v>Perno 5/8" x 1"</v>
          </cell>
          <cell r="D607">
            <v>0</v>
          </cell>
          <cell r="E607">
            <v>6.8285700000000005E-2</v>
          </cell>
        </row>
        <row r="608">
          <cell r="A608">
            <v>1039</v>
          </cell>
          <cell r="B608" t="str">
            <v>PERNOS</v>
          </cell>
          <cell r="C608" t="str">
            <v>Perno 5/8" x 1 1/2"</v>
          </cell>
          <cell r="D608">
            <v>0</v>
          </cell>
          <cell r="E608">
            <v>0.10539999999999999</v>
          </cell>
        </row>
        <row r="609">
          <cell r="A609">
            <v>1040</v>
          </cell>
          <cell r="B609" t="str">
            <v>PERNOS</v>
          </cell>
          <cell r="C609" t="str">
            <v>Perno 5/8" x 2"</v>
          </cell>
          <cell r="D609">
            <v>0</v>
          </cell>
          <cell r="E609">
            <v>0.10100000000000001</v>
          </cell>
        </row>
        <row r="610">
          <cell r="A610">
            <v>1041</v>
          </cell>
          <cell r="B610" t="str">
            <v>PERNOS</v>
          </cell>
          <cell r="C610" t="str">
            <v>Perno 5/8" x 2 1/2"</v>
          </cell>
          <cell r="D610">
            <v>0</v>
          </cell>
          <cell r="E610">
            <v>0.1225</v>
          </cell>
        </row>
        <row r="611">
          <cell r="A611">
            <v>1042</v>
          </cell>
          <cell r="B611" t="str">
            <v>PERNOS</v>
          </cell>
          <cell r="C611" t="str">
            <v>Perno 5/8" x 3"</v>
          </cell>
          <cell r="D611">
            <v>0</v>
          </cell>
          <cell r="E611">
            <v>0.14499999999999999</v>
          </cell>
        </row>
        <row r="612">
          <cell r="A612">
            <v>1043</v>
          </cell>
          <cell r="B612" t="str">
            <v>PERNOS</v>
          </cell>
          <cell r="C612" t="str">
            <v>Perno 5/8" x 4"</v>
          </cell>
          <cell r="D612">
            <v>0</v>
          </cell>
          <cell r="E612">
            <v>0.17960000000000001</v>
          </cell>
        </row>
        <row r="613">
          <cell r="A613">
            <v>1044</v>
          </cell>
          <cell r="B613" t="str">
            <v>PERNOS</v>
          </cell>
          <cell r="C613" t="str">
            <v>Perno 5/8" x 5"</v>
          </cell>
          <cell r="D613">
            <v>0</v>
          </cell>
          <cell r="E613">
            <v>0.2145</v>
          </cell>
        </row>
        <row r="614">
          <cell r="A614">
            <v>1045</v>
          </cell>
          <cell r="B614" t="str">
            <v>PERNOS</v>
          </cell>
          <cell r="C614" t="str">
            <v>Perno 3/4" x 1 1/2"</v>
          </cell>
          <cell r="D614">
            <v>0</v>
          </cell>
          <cell r="E614">
            <v>0.13700000000000001</v>
          </cell>
        </row>
        <row r="615">
          <cell r="A615">
            <v>1046</v>
          </cell>
          <cell r="B615" t="str">
            <v>PERNOS</v>
          </cell>
          <cell r="C615" t="str">
            <v>Perno 3/4" x 2"</v>
          </cell>
          <cell r="D615">
            <v>0</v>
          </cell>
          <cell r="E615">
            <v>0.15866659999999999</v>
          </cell>
        </row>
        <row r="616">
          <cell r="A616">
            <v>1047</v>
          </cell>
          <cell r="B616" t="str">
            <v>PERNOS</v>
          </cell>
          <cell r="C616" t="str">
            <v>Perno 3/4" x 2 1/2"</v>
          </cell>
          <cell r="D616">
            <v>0</v>
          </cell>
          <cell r="E616">
            <v>0.18679999999999999</v>
          </cell>
        </row>
        <row r="617">
          <cell r="A617">
            <v>1048</v>
          </cell>
          <cell r="B617" t="str">
            <v>PERNOS</v>
          </cell>
          <cell r="C617" t="str">
            <v>Perno 3/4" x 3"</v>
          </cell>
          <cell r="D617">
            <v>0</v>
          </cell>
          <cell r="E617">
            <v>0.218</v>
          </cell>
        </row>
        <row r="618">
          <cell r="A618">
            <v>1049</v>
          </cell>
          <cell r="B618" t="str">
            <v>PERNOS</v>
          </cell>
          <cell r="C618" t="str">
            <v>Perno 3/4" x 4"</v>
          </cell>
          <cell r="D618">
            <v>0</v>
          </cell>
          <cell r="E618">
            <v>0.27133299999999999</v>
          </cell>
        </row>
        <row r="619">
          <cell r="A619">
            <v>1050</v>
          </cell>
          <cell r="B619" t="str">
            <v>PERNOS</v>
          </cell>
          <cell r="C619" t="str">
            <v>Perno 3/4" x 5"</v>
          </cell>
          <cell r="D619">
            <v>0</v>
          </cell>
          <cell r="E619">
            <v>0.32466666666666666</v>
          </cell>
        </row>
        <row r="620">
          <cell r="A620">
            <v>1051</v>
          </cell>
          <cell r="B620" t="str">
            <v>TUERCAS</v>
          </cell>
          <cell r="C620" t="str">
            <v>Tuerca exagonal de 3/8"</v>
          </cell>
          <cell r="D620">
            <v>0</v>
          </cell>
          <cell r="E620">
            <v>7.0499999999999998E-3</v>
          </cell>
        </row>
        <row r="621">
          <cell r="A621">
            <v>1052</v>
          </cell>
          <cell r="B621" t="str">
            <v>TUERCAS</v>
          </cell>
          <cell r="C621" t="str">
            <v>Tuerca exagonal de 1/2"</v>
          </cell>
          <cell r="D621">
            <v>0</v>
          </cell>
          <cell r="E621">
            <v>1.67E-2</v>
          </cell>
        </row>
        <row r="622">
          <cell r="A622">
            <v>1053</v>
          </cell>
          <cell r="B622" t="str">
            <v>TUERCAS</v>
          </cell>
          <cell r="C622" t="str">
            <v>Tuerca exagonal de 5/8"</v>
          </cell>
          <cell r="D622">
            <v>0</v>
          </cell>
          <cell r="E622">
            <v>3.2800000000000003E-2</v>
          </cell>
        </row>
        <row r="623">
          <cell r="A623">
            <v>1054</v>
          </cell>
          <cell r="B623" t="str">
            <v>TUERCAS</v>
          </cell>
          <cell r="C623" t="str">
            <v>Tuerca exagonal de 3/4"</v>
          </cell>
          <cell r="D623">
            <v>0</v>
          </cell>
          <cell r="E623">
            <v>5.3555555555555558E-2</v>
          </cell>
        </row>
        <row r="624">
          <cell r="A624">
            <v>1055</v>
          </cell>
          <cell r="B624" t="str">
            <v>TUERCAS</v>
          </cell>
          <cell r="C624" t="str">
            <v>Tuerca exagonal de 7/8"</v>
          </cell>
          <cell r="D624">
            <v>0</v>
          </cell>
          <cell r="E624">
            <v>8.3599999999999994E-2</v>
          </cell>
        </row>
        <row r="625">
          <cell r="A625">
            <v>1056</v>
          </cell>
          <cell r="B625" t="str">
            <v>TUERCAS</v>
          </cell>
          <cell r="C625" t="str">
            <v>Tuerca exagonal de 1"</v>
          </cell>
          <cell r="D625">
            <v>0</v>
          </cell>
          <cell r="E625">
            <v>0.11874999999999999</v>
          </cell>
        </row>
        <row r="626">
          <cell r="A626">
            <v>1057</v>
          </cell>
          <cell r="B626" t="str">
            <v>TUERCAS</v>
          </cell>
          <cell r="C626" t="str">
            <v>Tuerca exagonal de 1 1/8"</v>
          </cell>
          <cell r="D626">
            <v>0</v>
          </cell>
          <cell r="E626">
            <v>0.19600000000000001</v>
          </cell>
        </row>
        <row r="627">
          <cell r="A627">
            <v>1058</v>
          </cell>
          <cell r="B627" t="str">
            <v>TUERCAS</v>
          </cell>
          <cell r="C627" t="str">
            <v>Tuerca exagonal de 1 1/4"</v>
          </cell>
          <cell r="D627">
            <v>0</v>
          </cell>
          <cell r="E627">
            <v>0.251</v>
          </cell>
        </row>
        <row r="628">
          <cell r="A628">
            <v>1059</v>
          </cell>
          <cell r="B628" t="str">
            <v>TUERCAS</v>
          </cell>
          <cell r="C628" t="str">
            <v>Tuerca exagonal de 1 1/2"</v>
          </cell>
          <cell r="D628">
            <v>0</v>
          </cell>
          <cell r="E628">
            <v>0.44400000000000001</v>
          </cell>
        </row>
        <row r="629">
          <cell r="A629">
            <v>1060</v>
          </cell>
          <cell r="B629" t="str">
            <v>ARANDELA PLANA</v>
          </cell>
          <cell r="C629" t="str">
            <v>Arandela Plana de 3/8"</v>
          </cell>
          <cell r="D629">
            <v>0</v>
          </cell>
        </row>
        <row r="630">
          <cell r="A630">
            <v>1061</v>
          </cell>
          <cell r="B630" t="str">
            <v>ARANDELA PLANA</v>
          </cell>
          <cell r="C630" t="str">
            <v>Arandela Plana de 1/2"</v>
          </cell>
          <cell r="D630">
            <v>0</v>
          </cell>
        </row>
        <row r="631">
          <cell r="A631">
            <v>1062</v>
          </cell>
          <cell r="B631" t="str">
            <v>ARANDELA PLANA</v>
          </cell>
          <cell r="C631" t="str">
            <v>Arandela Plana de 5/8"</v>
          </cell>
          <cell r="D631">
            <v>0</v>
          </cell>
        </row>
        <row r="632">
          <cell r="A632">
            <v>1063</v>
          </cell>
          <cell r="B632" t="str">
            <v>ARANDELA PLANA</v>
          </cell>
          <cell r="C632" t="str">
            <v>Arandela Plana de 3/4"</v>
          </cell>
          <cell r="D632">
            <v>0</v>
          </cell>
        </row>
        <row r="633">
          <cell r="A633">
            <v>1064</v>
          </cell>
          <cell r="B633" t="str">
            <v>ARANDELA PLANA</v>
          </cell>
          <cell r="C633" t="str">
            <v>Arandela Plana de 7/8"</v>
          </cell>
          <cell r="D633">
            <v>0</v>
          </cell>
        </row>
        <row r="634">
          <cell r="A634">
            <v>1065</v>
          </cell>
          <cell r="B634" t="str">
            <v>ARANDELA PLANA</v>
          </cell>
          <cell r="C634" t="str">
            <v>Arandela Plana de 1"</v>
          </cell>
          <cell r="D634">
            <v>0</v>
          </cell>
        </row>
        <row r="635">
          <cell r="A635">
            <v>1066</v>
          </cell>
          <cell r="B635" t="str">
            <v>ARANDELA PLANA</v>
          </cell>
          <cell r="C635" t="str">
            <v>Arandela Plana de 1 1/8"</v>
          </cell>
          <cell r="D635">
            <v>0</v>
          </cell>
        </row>
        <row r="636">
          <cell r="A636">
            <v>1067</v>
          </cell>
          <cell r="B636" t="str">
            <v>ARANDELA PLANA</v>
          </cell>
          <cell r="C636" t="str">
            <v>Arandela Plana de 1 1/4"</v>
          </cell>
          <cell r="D636">
            <v>0</v>
          </cell>
        </row>
        <row r="637">
          <cell r="A637">
            <v>1068</v>
          </cell>
          <cell r="B637" t="str">
            <v>ARANDELA PLANA</v>
          </cell>
          <cell r="C637" t="str">
            <v>Arandela Plana de 1 1/2"</v>
          </cell>
          <cell r="D637">
            <v>0</v>
          </cell>
        </row>
        <row r="638">
          <cell r="A638">
            <v>1069</v>
          </cell>
          <cell r="B638" t="str">
            <v>ARANDELA DE PRESION</v>
          </cell>
          <cell r="C638" t="str">
            <v>Arandela de Presion de 3/8"</v>
          </cell>
          <cell r="D638">
            <v>0</v>
          </cell>
          <cell r="E638">
            <v>2.3E-3</v>
          </cell>
        </row>
        <row r="639">
          <cell r="A639">
            <v>1070</v>
          </cell>
          <cell r="B639" t="str">
            <v>ARANDELA DE PRESION</v>
          </cell>
          <cell r="C639" t="str">
            <v>Arandela de Presion de 1/2"</v>
          </cell>
          <cell r="D639">
            <v>0</v>
          </cell>
          <cell r="E639">
            <v>3.5999999999999999E-3</v>
          </cell>
        </row>
        <row r="640">
          <cell r="A640">
            <v>1071</v>
          </cell>
          <cell r="B640" t="str">
            <v>ARANDELA DE PRESION</v>
          </cell>
          <cell r="C640" t="str">
            <v>Arandela de Presion de 5/8"</v>
          </cell>
          <cell r="D640">
            <v>0</v>
          </cell>
          <cell r="E640">
            <v>8.199999999999999E-3</v>
          </cell>
        </row>
        <row r="641">
          <cell r="A641">
            <v>1072</v>
          </cell>
          <cell r="B641" t="str">
            <v>ARANDELA DE PRESION</v>
          </cell>
          <cell r="C641" t="str">
            <v>Arandela de Presion de 3/4"</v>
          </cell>
          <cell r="D641">
            <v>0</v>
          </cell>
          <cell r="E641">
            <v>1.32E-2</v>
          </cell>
        </row>
        <row r="642">
          <cell r="A642">
            <v>1073</v>
          </cell>
          <cell r="B642" t="str">
            <v>ARANDELA DE PRESION</v>
          </cell>
          <cell r="C642" t="str">
            <v>Arandela de Presion de 7/8"</v>
          </cell>
          <cell r="D642">
            <v>0</v>
          </cell>
          <cell r="E642">
            <v>1.4800000000000001E-2</v>
          </cell>
        </row>
        <row r="643">
          <cell r="A643">
            <v>1074</v>
          </cell>
          <cell r="B643" t="str">
            <v>ARANDELA DE PRESION</v>
          </cell>
          <cell r="C643" t="str">
            <v>Arandela de Presion de 1"</v>
          </cell>
          <cell r="D643">
            <v>0</v>
          </cell>
        </row>
        <row r="644">
          <cell r="A644">
            <v>1075</v>
          </cell>
          <cell r="B644" t="str">
            <v>ARANDELA DE PRESION</v>
          </cell>
          <cell r="C644" t="str">
            <v>Arandela de Presion de 1 1/8"</v>
          </cell>
          <cell r="D644">
            <v>0</v>
          </cell>
        </row>
        <row r="645">
          <cell r="A645">
            <v>1076</v>
          </cell>
          <cell r="B645" t="str">
            <v>ARANDELA DE PRESION</v>
          </cell>
          <cell r="C645" t="str">
            <v>Arandela de Presion de 1 1/4"</v>
          </cell>
          <cell r="D645">
            <v>0</v>
          </cell>
        </row>
        <row r="646">
          <cell r="A646">
            <v>1077</v>
          </cell>
          <cell r="B646" t="str">
            <v>ARANDELA DE PRESION</v>
          </cell>
          <cell r="C646" t="str">
            <v>Arandela de Presion de 1 1/2"</v>
          </cell>
          <cell r="D646">
            <v>0</v>
          </cell>
        </row>
      </sheetData>
      <sheetData sheetId="1" refreshError="1"/>
      <sheetData sheetId="2" refreshError="1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MATERIALES SEDEMI INGENIERIA 20"/>
      <sheetName val="Hoja1"/>
      <sheetName val="PACKING LIST"/>
    </sheetNames>
    <definedNames>
      <definedName name="AREA2014A" refersTo="='DATOS'!$A$2:$P$1226"/>
    </definedNames>
    <sheetDataSet>
      <sheetData sheetId="0">
        <row r="2">
          <cell r="A2">
            <v>1</v>
          </cell>
          <cell r="B2" t="str">
            <v>"HEB" ESTRUCTURAL (Laminado)</v>
          </cell>
          <cell r="C2" t="str">
            <v>HEB 100</v>
          </cell>
          <cell r="D2">
            <v>20.400000000000002</v>
          </cell>
          <cell r="E2">
            <v>20.400000000000002</v>
          </cell>
          <cell r="F2">
            <v>100</v>
          </cell>
          <cell r="G2">
            <v>100</v>
          </cell>
          <cell r="H2">
            <v>6</v>
          </cell>
          <cell r="I2">
            <v>10</v>
          </cell>
          <cell r="K2">
            <v>588</v>
          </cell>
          <cell r="L2">
            <v>2600</v>
          </cell>
          <cell r="M2" t="str">
            <v>12.49.32.010.01</v>
          </cell>
          <cell r="N2">
            <v>6000</v>
          </cell>
          <cell r="O2" t="str">
            <v>A36</v>
          </cell>
          <cell r="P2" t="str">
            <v>S</v>
          </cell>
        </row>
        <row r="3">
          <cell r="A3">
            <v>2</v>
          </cell>
          <cell r="B3" t="str">
            <v>"HEB" ESTRUCTURAL (Laminado)</v>
          </cell>
          <cell r="C3" t="str">
            <v>HEB 120</v>
          </cell>
          <cell r="D3">
            <v>26.7</v>
          </cell>
          <cell r="E3">
            <v>26.7</v>
          </cell>
          <cell r="F3">
            <v>120</v>
          </cell>
          <cell r="G3">
            <v>120</v>
          </cell>
          <cell r="H3">
            <v>6.5</v>
          </cell>
          <cell r="I3">
            <v>11</v>
          </cell>
          <cell r="K3">
            <v>707</v>
          </cell>
          <cell r="L3">
            <v>3400</v>
          </cell>
          <cell r="M3" t="str">
            <v>12.49.32.020.00</v>
          </cell>
          <cell r="N3">
            <v>6000</v>
          </cell>
          <cell r="O3" t="str">
            <v>A36</v>
          </cell>
          <cell r="P3" t="str">
            <v>S</v>
          </cell>
        </row>
        <row r="4">
          <cell r="A4">
            <v>3</v>
          </cell>
          <cell r="B4" t="str">
            <v>"HEB" ESTRUCTURAL (Laminado)</v>
          </cell>
          <cell r="C4" t="str">
            <v>HEB 140</v>
          </cell>
          <cell r="D4">
            <v>33.700000000000003</v>
          </cell>
          <cell r="E4">
            <v>33.700000000000003</v>
          </cell>
          <cell r="F4">
            <v>140</v>
          </cell>
          <cell r="G4">
            <v>140</v>
          </cell>
          <cell r="H4">
            <v>7</v>
          </cell>
          <cell r="I4">
            <v>12</v>
          </cell>
          <cell r="K4">
            <v>826</v>
          </cell>
          <cell r="L4">
            <v>4300</v>
          </cell>
          <cell r="M4" t="str">
            <v>12.49.32.030.01</v>
          </cell>
          <cell r="N4">
            <v>12000</v>
          </cell>
          <cell r="O4" t="str">
            <v>A36</v>
          </cell>
          <cell r="P4" t="str">
            <v>S</v>
          </cell>
        </row>
        <row r="5">
          <cell r="A5">
            <v>4</v>
          </cell>
          <cell r="B5" t="str">
            <v>"HEB" ESTRUCTURAL (Laminado)</v>
          </cell>
          <cell r="C5" t="str">
            <v>HEB 160</v>
          </cell>
          <cell r="D5">
            <v>42.6</v>
          </cell>
          <cell r="E5">
            <v>42.6</v>
          </cell>
          <cell r="F5">
            <v>160</v>
          </cell>
          <cell r="G5">
            <v>160</v>
          </cell>
          <cell r="H5">
            <v>8</v>
          </cell>
          <cell r="I5">
            <v>13</v>
          </cell>
          <cell r="K5">
            <v>944</v>
          </cell>
          <cell r="L5">
            <v>5430</v>
          </cell>
          <cell r="M5" t="str">
            <v>12.49.32.040.00</v>
          </cell>
          <cell r="N5">
            <v>6000</v>
          </cell>
          <cell r="O5" t="str">
            <v>A36</v>
          </cell>
          <cell r="P5" t="str">
            <v>S</v>
          </cell>
        </row>
        <row r="6">
          <cell r="A6">
            <v>5</v>
          </cell>
          <cell r="B6" t="str">
            <v>"HEB" ESTRUCTURAL (Laminado)</v>
          </cell>
          <cell r="C6" t="str">
            <v>HEB 180</v>
          </cell>
          <cell r="D6">
            <v>51.2</v>
          </cell>
          <cell r="E6">
            <v>51.2</v>
          </cell>
          <cell r="F6">
            <v>180</v>
          </cell>
          <cell r="G6">
            <v>180</v>
          </cell>
          <cell r="H6">
            <v>8.5</v>
          </cell>
          <cell r="I6">
            <v>14</v>
          </cell>
          <cell r="K6">
            <v>1063</v>
          </cell>
          <cell r="L6">
            <v>6530</v>
          </cell>
          <cell r="M6" t="str">
            <v>12.49.32.050.00</v>
          </cell>
          <cell r="O6" t="str">
            <v>A36</v>
          </cell>
          <cell r="P6" t="str">
            <v>S</v>
          </cell>
        </row>
        <row r="7">
          <cell r="A7">
            <v>6</v>
          </cell>
          <cell r="B7" t="str">
            <v>"HEB" ESTRUCTURAL (Laminado)</v>
          </cell>
          <cell r="C7" t="str">
            <v>HEB 200</v>
          </cell>
          <cell r="D7">
            <v>61.3</v>
          </cell>
          <cell r="E7">
            <v>61.3</v>
          </cell>
          <cell r="F7">
            <v>200</v>
          </cell>
          <cell r="G7">
            <v>200</v>
          </cell>
          <cell r="H7">
            <v>9</v>
          </cell>
          <cell r="I7">
            <v>15</v>
          </cell>
          <cell r="K7">
            <v>1182</v>
          </cell>
          <cell r="L7">
            <v>7809.9999999999991</v>
          </cell>
          <cell r="M7" t="str">
            <v>12.49.32.060.01</v>
          </cell>
          <cell r="N7">
            <v>12000</v>
          </cell>
          <cell r="O7" t="str">
            <v>A36</v>
          </cell>
          <cell r="P7" t="str">
            <v>S</v>
          </cell>
        </row>
        <row r="8">
          <cell r="A8">
            <v>7</v>
          </cell>
          <cell r="B8" t="str">
            <v>"HEB" ESTRUCTURAL (Laminado)</v>
          </cell>
          <cell r="C8" t="str">
            <v>HEB 220</v>
          </cell>
          <cell r="D8">
            <v>71.5</v>
          </cell>
          <cell r="E8">
            <v>71.5</v>
          </cell>
          <cell r="F8">
            <v>220</v>
          </cell>
          <cell r="G8">
            <v>220</v>
          </cell>
          <cell r="H8">
            <v>9.5</v>
          </cell>
          <cell r="I8">
            <v>16</v>
          </cell>
          <cell r="K8">
            <v>1301</v>
          </cell>
          <cell r="L8">
            <v>9100</v>
          </cell>
          <cell r="M8" t="str">
            <v>12.49.32.070.00</v>
          </cell>
          <cell r="N8">
            <v>6000</v>
          </cell>
          <cell r="O8" t="str">
            <v>A36</v>
          </cell>
          <cell r="P8" t="str">
            <v>S</v>
          </cell>
        </row>
        <row r="9">
          <cell r="A9">
            <v>8</v>
          </cell>
          <cell r="B9" t="str">
            <v>"HEB" ESTRUCTURAL (Laminado)</v>
          </cell>
          <cell r="C9" t="str">
            <v>HEB 240</v>
          </cell>
          <cell r="D9">
            <v>83.2</v>
          </cell>
          <cell r="E9">
            <v>83.2</v>
          </cell>
          <cell r="F9">
            <v>240</v>
          </cell>
          <cell r="G9">
            <v>240</v>
          </cell>
          <cell r="H9">
            <v>10</v>
          </cell>
          <cell r="I9">
            <v>17</v>
          </cell>
          <cell r="K9">
            <v>1420</v>
          </cell>
          <cell r="L9">
            <v>16000</v>
          </cell>
          <cell r="M9" t="str">
            <v>12.49.32.080.00</v>
          </cell>
          <cell r="O9" t="str">
            <v>A36</v>
          </cell>
          <cell r="P9" t="str">
            <v>S</v>
          </cell>
        </row>
        <row r="10">
          <cell r="A10">
            <v>9</v>
          </cell>
          <cell r="B10" t="str">
            <v>"HEB" ESTRUCTURAL (Laminado)</v>
          </cell>
          <cell r="C10" t="str">
            <v>HEB 260</v>
          </cell>
          <cell r="D10">
            <v>93</v>
          </cell>
          <cell r="E10">
            <v>93</v>
          </cell>
          <cell r="F10">
            <v>260</v>
          </cell>
          <cell r="G10">
            <v>260</v>
          </cell>
          <cell r="H10">
            <v>10</v>
          </cell>
          <cell r="I10">
            <v>17.5</v>
          </cell>
          <cell r="K10">
            <v>1540</v>
          </cell>
          <cell r="L10">
            <v>11800</v>
          </cell>
          <cell r="M10" t="str">
            <v>12.49.32.090.00</v>
          </cell>
          <cell r="N10">
            <v>6000</v>
          </cell>
          <cell r="O10" t="str">
            <v>A36</v>
          </cell>
          <cell r="P10" t="str">
            <v>S</v>
          </cell>
        </row>
        <row r="11">
          <cell r="A11">
            <v>10</v>
          </cell>
          <cell r="B11" t="str">
            <v>"HEB" ESTRUCTURAL (Laminado)</v>
          </cell>
          <cell r="C11" t="str">
            <v>HEB 280</v>
          </cell>
          <cell r="D11">
            <v>103</v>
          </cell>
          <cell r="E11">
            <v>103</v>
          </cell>
          <cell r="F11">
            <v>280</v>
          </cell>
          <cell r="G11">
            <v>280</v>
          </cell>
          <cell r="H11">
            <v>10.5</v>
          </cell>
          <cell r="I11">
            <v>18</v>
          </cell>
          <cell r="K11">
            <v>1659</v>
          </cell>
          <cell r="L11">
            <v>13100</v>
          </cell>
          <cell r="M11" t="str">
            <v>12.49.32.100.00</v>
          </cell>
          <cell r="N11">
            <v>12000</v>
          </cell>
          <cell r="O11" t="str">
            <v>A36</v>
          </cell>
          <cell r="P11" t="str">
            <v>S</v>
          </cell>
        </row>
        <row r="12">
          <cell r="A12">
            <v>11</v>
          </cell>
          <cell r="B12" t="str">
            <v>"HEB" ESTRUCTURAL (Laminado)</v>
          </cell>
          <cell r="C12" t="str">
            <v>HEB 300</v>
          </cell>
          <cell r="D12">
            <v>117</v>
          </cell>
          <cell r="E12">
            <v>117</v>
          </cell>
          <cell r="F12">
            <v>300</v>
          </cell>
          <cell r="G12">
            <v>300</v>
          </cell>
          <cell r="H12">
            <v>11</v>
          </cell>
          <cell r="I12">
            <v>19</v>
          </cell>
          <cell r="K12">
            <v>1778</v>
          </cell>
          <cell r="L12">
            <v>14900</v>
          </cell>
          <cell r="M12" t="str">
            <v>12.49.32.110.00</v>
          </cell>
          <cell r="N12">
            <v>12000</v>
          </cell>
          <cell r="O12" t="str">
            <v>A36</v>
          </cell>
          <cell r="P12" t="str">
            <v>S</v>
          </cell>
        </row>
        <row r="13">
          <cell r="A13">
            <v>12</v>
          </cell>
          <cell r="B13" t="str">
            <v>"HEB" ESTRUCTURAL (Laminado)</v>
          </cell>
          <cell r="C13" t="str">
            <v>HEB 320</v>
          </cell>
          <cell r="D13">
            <v>127</v>
          </cell>
          <cell r="E13">
            <v>127</v>
          </cell>
          <cell r="F13">
            <v>300</v>
          </cell>
          <cell r="G13">
            <v>320</v>
          </cell>
          <cell r="H13">
            <v>11.5</v>
          </cell>
          <cell r="I13">
            <v>20.5</v>
          </cell>
          <cell r="K13">
            <v>1817</v>
          </cell>
          <cell r="L13">
            <v>16100</v>
          </cell>
          <cell r="M13" t="str">
            <v>12.49.32.120.00</v>
          </cell>
          <cell r="O13" t="str">
            <v>A36</v>
          </cell>
          <cell r="P13" t="str">
            <v>N</v>
          </cell>
        </row>
        <row r="14">
          <cell r="A14">
            <v>13</v>
          </cell>
          <cell r="B14" t="str">
            <v>"HEB" ESTRUCTURAL (Laminado)</v>
          </cell>
          <cell r="C14" t="str">
            <v>HEB 340</v>
          </cell>
          <cell r="D14">
            <v>134</v>
          </cell>
          <cell r="E14">
            <v>134</v>
          </cell>
          <cell r="F14">
            <v>300</v>
          </cell>
          <cell r="G14">
            <v>340</v>
          </cell>
          <cell r="H14">
            <v>12</v>
          </cell>
          <cell r="I14">
            <v>21.5</v>
          </cell>
          <cell r="K14">
            <v>1856</v>
          </cell>
          <cell r="L14">
            <v>17090</v>
          </cell>
          <cell r="M14" t="str">
            <v>12.49.32.130.00</v>
          </cell>
          <cell r="N14">
            <v>6000</v>
          </cell>
          <cell r="O14" t="str">
            <v>A36</v>
          </cell>
          <cell r="P14" t="str">
            <v>N</v>
          </cell>
        </row>
        <row r="15">
          <cell r="A15">
            <v>14</v>
          </cell>
          <cell r="B15" t="str">
            <v>"HEB" ESTRUCTURAL (Laminado)</v>
          </cell>
          <cell r="C15" t="str">
            <v>HEB 360</v>
          </cell>
          <cell r="D15">
            <v>142</v>
          </cell>
          <cell r="E15">
            <v>142</v>
          </cell>
          <cell r="F15">
            <v>300</v>
          </cell>
          <cell r="G15">
            <v>360</v>
          </cell>
          <cell r="H15">
            <v>12.5</v>
          </cell>
          <cell r="I15">
            <v>22.5</v>
          </cell>
          <cell r="K15">
            <v>1895</v>
          </cell>
          <cell r="L15">
            <v>18060</v>
          </cell>
          <cell r="M15" t="str">
            <v>12.49.32.140.00</v>
          </cell>
          <cell r="N15">
            <v>12000</v>
          </cell>
          <cell r="O15" t="str">
            <v>A36</v>
          </cell>
          <cell r="P15" t="str">
            <v>N</v>
          </cell>
        </row>
        <row r="16">
          <cell r="A16">
            <v>15</v>
          </cell>
          <cell r="B16" t="str">
            <v>"HEB" ESTRUCTURAL (Laminado)</v>
          </cell>
          <cell r="C16" t="str">
            <v>HEB 400</v>
          </cell>
          <cell r="D16">
            <v>155</v>
          </cell>
          <cell r="E16">
            <v>155</v>
          </cell>
          <cell r="F16">
            <v>300</v>
          </cell>
          <cell r="G16">
            <v>400</v>
          </cell>
          <cell r="H16">
            <v>13.5</v>
          </cell>
          <cell r="I16">
            <v>24</v>
          </cell>
          <cell r="K16">
            <v>1973</v>
          </cell>
          <cell r="L16">
            <v>19780</v>
          </cell>
          <cell r="M16" t="str">
            <v>12.49.32.150.00</v>
          </cell>
          <cell r="O16" t="str">
            <v>A36</v>
          </cell>
          <cell r="P16" t="str">
            <v>N</v>
          </cell>
        </row>
        <row r="17">
          <cell r="A17">
            <v>16</v>
          </cell>
          <cell r="B17" t="str">
            <v>"HEB" ESTRUCTURAL (Laminado)</v>
          </cell>
          <cell r="C17" t="str">
            <v>HEB 450</v>
          </cell>
          <cell r="D17">
            <v>171</v>
          </cell>
          <cell r="E17">
            <v>171</v>
          </cell>
          <cell r="F17">
            <v>300</v>
          </cell>
          <cell r="G17">
            <v>450</v>
          </cell>
          <cell r="H17">
            <v>14</v>
          </cell>
          <cell r="I17">
            <v>26</v>
          </cell>
          <cell r="K17">
            <v>2072</v>
          </cell>
          <cell r="L17">
            <v>21800</v>
          </cell>
          <cell r="M17" t="str">
            <v>12.49.32.160.00</v>
          </cell>
          <cell r="O17" t="str">
            <v>A36</v>
          </cell>
          <cell r="P17" t="str">
            <v>N</v>
          </cell>
        </row>
        <row r="18">
          <cell r="A18">
            <v>17</v>
          </cell>
          <cell r="B18" t="str">
            <v>"HEB" ESTRUCTURAL (Laminado)</v>
          </cell>
          <cell r="C18" t="str">
            <v>HEB 500</v>
          </cell>
          <cell r="D18">
            <v>187</v>
          </cell>
          <cell r="E18">
            <v>187</v>
          </cell>
          <cell r="F18">
            <v>300</v>
          </cell>
          <cell r="G18">
            <v>500</v>
          </cell>
          <cell r="H18">
            <v>14.5</v>
          </cell>
          <cell r="I18">
            <v>28</v>
          </cell>
          <cell r="K18">
            <v>2171</v>
          </cell>
          <cell r="L18">
            <v>23860</v>
          </cell>
          <cell r="M18" t="str">
            <v>12.49.32.170.00</v>
          </cell>
          <cell r="N18">
            <v>12000</v>
          </cell>
          <cell r="O18" t="str">
            <v>A36</v>
          </cell>
          <cell r="P18" t="str">
            <v>N</v>
          </cell>
        </row>
        <row r="19">
          <cell r="A19">
            <v>18</v>
          </cell>
          <cell r="B19" t="str">
            <v>"HEB" ESTRUCTURAL (Laminado)</v>
          </cell>
          <cell r="C19" t="str">
            <v>HEB 550</v>
          </cell>
          <cell r="D19">
            <v>199</v>
          </cell>
          <cell r="E19">
            <v>199</v>
          </cell>
          <cell r="F19">
            <v>300</v>
          </cell>
          <cell r="G19">
            <v>550</v>
          </cell>
          <cell r="H19">
            <v>15</v>
          </cell>
          <cell r="I19">
            <v>29</v>
          </cell>
          <cell r="K19">
            <v>2270</v>
          </cell>
          <cell r="L19">
            <v>25410</v>
          </cell>
          <cell r="M19" t="str">
            <v>12.49.32.180.00</v>
          </cell>
          <cell r="N19">
            <v>12000</v>
          </cell>
          <cell r="O19" t="str">
            <v>A36</v>
          </cell>
          <cell r="P19" t="str">
            <v>N</v>
          </cell>
        </row>
        <row r="20">
          <cell r="A20">
            <v>19</v>
          </cell>
          <cell r="B20" t="str">
            <v>"HEB" ESTRUCTURAL (Laminado)</v>
          </cell>
          <cell r="C20" t="str">
            <v>HEB 600</v>
          </cell>
          <cell r="D20">
            <v>212</v>
          </cell>
          <cell r="E20">
            <v>212</v>
          </cell>
          <cell r="F20">
            <v>300</v>
          </cell>
          <cell r="G20">
            <v>600</v>
          </cell>
          <cell r="H20">
            <v>15.5</v>
          </cell>
          <cell r="I20">
            <v>30</v>
          </cell>
          <cell r="K20">
            <v>2369</v>
          </cell>
          <cell r="L20">
            <v>27000</v>
          </cell>
          <cell r="M20" t="str">
            <v>12.49.32.190.00</v>
          </cell>
          <cell r="N20">
            <v>12000</v>
          </cell>
          <cell r="O20" t="str">
            <v>A36</v>
          </cell>
          <cell r="P20" t="str">
            <v>N</v>
          </cell>
        </row>
        <row r="21">
          <cell r="A21">
            <v>20</v>
          </cell>
          <cell r="B21" t="str">
            <v>"HEA" ESTRUCTURAL (Laminado)</v>
          </cell>
          <cell r="C21" t="str">
            <v xml:space="preserve">HEA 100 </v>
          </cell>
          <cell r="D21">
            <v>16.7</v>
          </cell>
          <cell r="E21">
            <v>16.7</v>
          </cell>
          <cell r="F21">
            <v>100</v>
          </cell>
          <cell r="G21">
            <v>96</v>
          </cell>
          <cell r="H21">
            <v>5</v>
          </cell>
          <cell r="I21">
            <v>8</v>
          </cell>
          <cell r="K21">
            <v>582</v>
          </cell>
          <cell r="L21">
            <v>2120</v>
          </cell>
          <cell r="M21" t="str">
            <v>12.49.16.010.00</v>
          </cell>
          <cell r="O21" t="str">
            <v>A36</v>
          </cell>
          <cell r="P21" t="str">
            <v>S</v>
          </cell>
        </row>
        <row r="22">
          <cell r="A22">
            <v>21</v>
          </cell>
          <cell r="B22" t="str">
            <v>"HEA" ESTRUCTURAL (Laminado)</v>
          </cell>
          <cell r="C22" t="str">
            <v xml:space="preserve">HEA 120 </v>
          </cell>
          <cell r="D22">
            <v>19.899999999999999</v>
          </cell>
          <cell r="E22">
            <v>19.899999999999999</v>
          </cell>
          <cell r="F22">
            <v>120</v>
          </cell>
          <cell r="G22">
            <v>114</v>
          </cell>
          <cell r="H22">
            <v>5</v>
          </cell>
          <cell r="I22">
            <v>8</v>
          </cell>
          <cell r="K22">
            <v>698</v>
          </cell>
          <cell r="L22">
            <v>2530</v>
          </cell>
          <cell r="M22" t="str">
            <v>12.49.16.020.00</v>
          </cell>
          <cell r="O22" t="str">
            <v>A36</v>
          </cell>
          <cell r="P22" t="str">
            <v>S</v>
          </cell>
        </row>
        <row r="23">
          <cell r="A23">
            <v>22</v>
          </cell>
          <cell r="B23" t="str">
            <v>"HEA" ESTRUCTURAL (Laminado)</v>
          </cell>
          <cell r="C23" t="str">
            <v xml:space="preserve">HEA 140 </v>
          </cell>
          <cell r="D23">
            <v>24.7</v>
          </cell>
          <cell r="E23">
            <v>24.7</v>
          </cell>
          <cell r="F23">
            <v>140</v>
          </cell>
          <cell r="G23">
            <v>133</v>
          </cell>
          <cell r="H23">
            <v>5.5</v>
          </cell>
          <cell r="I23">
            <v>8.5</v>
          </cell>
          <cell r="K23">
            <v>815</v>
          </cell>
          <cell r="L23">
            <v>3140</v>
          </cell>
          <cell r="M23" t="str">
            <v>12.49.16.030.00</v>
          </cell>
          <cell r="N23">
            <v>12000</v>
          </cell>
          <cell r="O23" t="str">
            <v>A36</v>
          </cell>
          <cell r="P23" t="str">
            <v>S</v>
          </cell>
        </row>
        <row r="24">
          <cell r="A24">
            <v>23</v>
          </cell>
          <cell r="B24" t="str">
            <v>"HEA" ESTRUCTURAL (Laminado)</v>
          </cell>
          <cell r="C24" t="str">
            <v>HEA 160</v>
          </cell>
          <cell r="D24">
            <v>30.4</v>
          </cell>
          <cell r="E24">
            <v>30.4</v>
          </cell>
          <cell r="F24">
            <v>160</v>
          </cell>
          <cell r="G24">
            <v>152</v>
          </cell>
          <cell r="H24">
            <v>6</v>
          </cell>
          <cell r="I24">
            <v>9</v>
          </cell>
          <cell r="K24">
            <v>932</v>
          </cell>
          <cell r="L24">
            <v>3879.9999999999995</v>
          </cell>
          <cell r="M24" t="str">
            <v>12.49.16.040.00</v>
          </cell>
          <cell r="N24">
            <v>6000</v>
          </cell>
          <cell r="O24" t="str">
            <v>A36</v>
          </cell>
          <cell r="P24" t="str">
            <v>S</v>
          </cell>
        </row>
        <row r="25">
          <cell r="A25">
            <v>24</v>
          </cell>
          <cell r="B25" t="str">
            <v>"HEA" ESTRUCTURAL (Laminado)</v>
          </cell>
          <cell r="C25" t="str">
            <v>HEA 180</v>
          </cell>
          <cell r="D25">
            <v>35.5</v>
          </cell>
          <cell r="E25">
            <v>35.5</v>
          </cell>
          <cell r="F25">
            <v>180</v>
          </cell>
          <cell r="G25">
            <v>171</v>
          </cell>
          <cell r="H25">
            <v>6</v>
          </cell>
          <cell r="I25">
            <v>9.5</v>
          </cell>
          <cell r="K25">
            <v>1050</v>
          </cell>
          <cell r="L25">
            <v>4530</v>
          </cell>
          <cell r="M25" t="str">
            <v>12.49.16.050.00</v>
          </cell>
          <cell r="N25">
            <v>12000</v>
          </cell>
          <cell r="O25" t="str">
            <v>A36</v>
          </cell>
          <cell r="P25" t="str">
            <v>S</v>
          </cell>
        </row>
        <row r="26">
          <cell r="A26">
            <v>25</v>
          </cell>
          <cell r="B26" t="str">
            <v>"HEA" ESTRUCTURAL (Laminado)</v>
          </cell>
          <cell r="C26" t="str">
            <v>HEA 200</v>
          </cell>
          <cell r="D26">
            <v>42.3</v>
          </cell>
          <cell r="E26">
            <v>42.3</v>
          </cell>
          <cell r="F26">
            <v>200</v>
          </cell>
          <cell r="G26">
            <v>190</v>
          </cell>
          <cell r="H26">
            <v>6.5</v>
          </cell>
          <cell r="I26">
            <v>10</v>
          </cell>
          <cell r="K26">
            <v>1167</v>
          </cell>
          <cell r="L26">
            <v>5380</v>
          </cell>
          <cell r="M26" t="str">
            <v>12.49.16.060.00</v>
          </cell>
          <cell r="O26" t="str">
            <v>A36</v>
          </cell>
          <cell r="P26" t="str">
            <v>S</v>
          </cell>
        </row>
        <row r="27">
          <cell r="A27">
            <v>26</v>
          </cell>
          <cell r="B27" t="str">
            <v>"HEA" ESTRUCTURAL (Laminado)</v>
          </cell>
          <cell r="C27" t="str">
            <v>HEA 220</v>
          </cell>
          <cell r="D27">
            <v>50.5</v>
          </cell>
          <cell r="E27">
            <v>50.5</v>
          </cell>
          <cell r="F27">
            <v>220</v>
          </cell>
          <cell r="G27">
            <v>210</v>
          </cell>
          <cell r="H27">
            <v>7</v>
          </cell>
          <cell r="I27">
            <v>11</v>
          </cell>
          <cell r="K27">
            <v>1286</v>
          </cell>
          <cell r="L27">
            <v>6430</v>
          </cell>
          <cell r="M27" t="str">
            <v>12.49.16.070.00</v>
          </cell>
          <cell r="N27">
            <v>12000</v>
          </cell>
          <cell r="O27" t="str">
            <v>A36</v>
          </cell>
          <cell r="P27" t="str">
            <v>N</v>
          </cell>
        </row>
        <row r="28">
          <cell r="A28">
            <v>27</v>
          </cell>
          <cell r="B28" t="str">
            <v>"HEA" ESTRUCTURAL (Laminado)</v>
          </cell>
          <cell r="C28" t="str">
            <v>HEA 240</v>
          </cell>
          <cell r="D28">
            <v>60.3</v>
          </cell>
          <cell r="E28">
            <v>60.3</v>
          </cell>
          <cell r="F28">
            <v>240</v>
          </cell>
          <cell r="G28">
            <v>230</v>
          </cell>
          <cell r="H28">
            <v>7.5</v>
          </cell>
          <cell r="I28">
            <v>12</v>
          </cell>
          <cell r="K28">
            <v>1405</v>
          </cell>
          <cell r="L28">
            <v>7680</v>
          </cell>
          <cell r="M28" t="str">
            <v>12.49.16.080.00</v>
          </cell>
          <cell r="O28" t="str">
            <v>A36</v>
          </cell>
          <cell r="P28" t="str">
            <v>N</v>
          </cell>
        </row>
        <row r="29">
          <cell r="A29">
            <v>28</v>
          </cell>
          <cell r="B29" t="str">
            <v>"HEA" ESTRUCTURAL (Laminado)</v>
          </cell>
          <cell r="C29" t="str">
            <v>HEA 260</v>
          </cell>
          <cell r="D29">
            <v>68.2</v>
          </cell>
          <cell r="E29">
            <v>68.2</v>
          </cell>
          <cell r="F29">
            <v>260</v>
          </cell>
          <cell r="G29">
            <v>250</v>
          </cell>
          <cell r="H29">
            <v>7.5</v>
          </cell>
          <cell r="I29">
            <v>12.5</v>
          </cell>
          <cell r="K29">
            <v>1525</v>
          </cell>
          <cell r="L29">
            <v>8660</v>
          </cell>
          <cell r="M29" t="str">
            <v>12.49.16.090.00</v>
          </cell>
          <cell r="N29">
            <v>12000</v>
          </cell>
          <cell r="O29" t="str">
            <v>A36</v>
          </cell>
          <cell r="P29" t="str">
            <v>N</v>
          </cell>
        </row>
        <row r="30">
          <cell r="A30">
            <v>29</v>
          </cell>
          <cell r="B30" t="str">
            <v>"HEA" ESTRUCTURAL (Laminado)</v>
          </cell>
          <cell r="C30" t="str">
            <v>HEA 280</v>
          </cell>
          <cell r="D30">
            <v>76.400000000000006</v>
          </cell>
          <cell r="E30">
            <v>76.400000000000006</v>
          </cell>
          <cell r="F30">
            <v>280</v>
          </cell>
          <cell r="G30">
            <v>270</v>
          </cell>
          <cell r="H30">
            <v>8</v>
          </cell>
          <cell r="I30">
            <v>13</v>
          </cell>
          <cell r="K30">
            <v>1644</v>
          </cell>
          <cell r="L30">
            <v>9730</v>
          </cell>
          <cell r="M30" t="str">
            <v>12.49.16.100.00</v>
          </cell>
          <cell r="O30" t="str">
            <v>A36</v>
          </cell>
          <cell r="P30" t="str">
            <v>N</v>
          </cell>
        </row>
        <row r="31">
          <cell r="A31">
            <v>30</v>
          </cell>
          <cell r="B31" t="str">
            <v>"HEA" ESTRUCTURAL (Laminado)</v>
          </cell>
          <cell r="C31" t="str">
            <v>HEA 300</v>
          </cell>
          <cell r="D31">
            <v>88.3</v>
          </cell>
          <cell r="E31">
            <v>88.3</v>
          </cell>
          <cell r="F31">
            <v>280</v>
          </cell>
          <cell r="G31">
            <v>270</v>
          </cell>
          <cell r="H31">
            <v>8</v>
          </cell>
          <cell r="I31">
            <v>13</v>
          </cell>
          <cell r="K31">
            <v>1644</v>
          </cell>
          <cell r="L31">
            <v>9730</v>
          </cell>
          <cell r="M31" t="str">
            <v>12.49.16.110.00</v>
          </cell>
          <cell r="N31">
            <v>12000</v>
          </cell>
          <cell r="O31" t="str">
            <v>A36</v>
          </cell>
          <cell r="P31" t="str">
            <v>N</v>
          </cell>
        </row>
        <row r="32">
          <cell r="A32">
            <v>31</v>
          </cell>
          <cell r="B32" t="str">
            <v>"UPN" ESTRUCTURAL (Laminado)</v>
          </cell>
          <cell r="C32" t="str">
            <v>UPN 50</v>
          </cell>
          <cell r="D32">
            <v>5.59</v>
          </cell>
          <cell r="E32">
            <v>5.59</v>
          </cell>
          <cell r="F32">
            <v>38</v>
          </cell>
          <cell r="G32">
            <v>50</v>
          </cell>
          <cell r="H32">
            <v>5</v>
          </cell>
          <cell r="I32">
            <v>7</v>
          </cell>
          <cell r="K32">
            <v>233</v>
          </cell>
          <cell r="L32">
            <v>712</v>
          </cell>
          <cell r="M32" t="str">
            <v>12.49.80.030.00</v>
          </cell>
          <cell r="O32" t="str">
            <v>A36</v>
          </cell>
          <cell r="P32" t="str">
            <v>S</v>
          </cell>
        </row>
        <row r="33">
          <cell r="A33">
            <v>32</v>
          </cell>
          <cell r="B33" t="str">
            <v>"UPN" ESTRUCTURAL (Laminado)</v>
          </cell>
          <cell r="C33" t="str">
            <v>UPN 65</v>
          </cell>
          <cell r="D33">
            <v>7.09</v>
          </cell>
          <cell r="E33">
            <v>7.09</v>
          </cell>
          <cell r="F33">
            <v>42</v>
          </cell>
          <cell r="G33">
            <v>65</v>
          </cell>
          <cell r="H33">
            <v>5.5</v>
          </cell>
          <cell r="I33">
            <v>7.5</v>
          </cell>
          <cell r="K33">
            <v>277.5</v>
          </cell>
          <cell r="L33">
            <v>902.99999999999989</v>
          </cell>
          <cell r="M33" t="str">
            <v>12.49.80.040.00</v>
          </cell>
          <cell r="O33" t="str">
            <v>A36</v>
          </cell>
          <cell r="P33" t="str">
            <v>N</v>
          </cell>
        </row>
        <row r="34">
          <cell r="A34">
            <v>33</v>
          </cell>
          <cell r="B34" t="str">
            <v>"UPN" ESTRUCTURAL (Laminado)</v>
          </cell>
          <cell r="C34" t="str">
            <v>UPN 80</v>
          </cell>
          <cell r="D34">
            <v>8.64</v>
          </cell>
          <cell r="E34">
            <v>8.64</v>
          </cell>
          <cell r="F34">
            <v>45</v>
          </cell>
          <cell r="G34">
            <v>80</v>
          </cell>
          <cell r="H34">
            <v>6</v>
          </cell>
          <cell r="I34">
            <v>8</v>
          </cell>
          <cell r="K34">
            <v>318</v>
          </cell>
          <cell r="L34">
            <v>1100</v>
          </cell>
          <cell r="M34" t="str">
            <v>12.49.80.050.00</v>
          </cell>
          <cell r="O34" t="str">
            <v>A36</v>
          </cell>
          <cell r="P34" t="str">
            <v>S</v>
          </cell>
        </row>
        <row r="35">
          <cell r="A35">
            <v>34</v>
          </cell>
          <cell r="B35" t="str">
            <v>"UPN" ESTRUCTURAL (Laminado)</v>
          </cell>
          <cell r="C35" t="str">
            <v>UPN 100</v>
          </cell>
          <cell r="D35">
            <v>10.6</v>
          </cell>
          <cell r="E35">
            <v>10.6</v>
          </cell>
          <cell r="F35">
            <v>50</v>
          </cell>
          <cell r="G35">
            <v>100</v>
          </cell>
          <cell r="H35">
            <v>6</v>
          </cell>
          <cell r="I35">
            <v>8.5</v>
          </cell>
          <cell r="K35">
            <v>377</v>
          </cell>
          <cell r="L35">
            <v>1350</v>
          </cell>
          <cell r="M35" t="str">
            <v>12.49.80.060.00</v>
          </cell>
          <cell r="O35" t="str">
            <v>A36</v>
          </cell>
          <cell r="P35" t="str">
            <v>S</v>
          </cell>
        </row>
        <row r="36">
          <cell r="A36">
            <v>35</v>
          </cell>
          <cell r="B36" t="str">
            <v>"UPN" ESTRUCTURAL (Laminado)</v>
          </cell>
          <cell r="C36" t="str">
            <v>UPN 120</v>
          </cell>
          <cell r="D36">
            <v>13.4</v>
          </cell>
          <cell r="E36">
            <v>13.4</v>
          </cell>
          <cell r="F36">
            <v>55</v>
          </cell>
          <cell r="G36">
            <v>120</v>
          </cell>
          <cell r="H36">
            <v>7</v>
          </cell>
          <cell r="I36">
            <v>9</v>
          </cell>
          <cell r="K36">
            <v>435</v>
          </cell>
          <cell r="L36">
            <v>1700</v>
          </cell>
          <cell r="M36" t="str">
            <v>12.49.80.070.00</v>
          </cell>
          <cell r="O36" t="str">
            <v>A36</v>
          </cell>
          <cell r="P36" t="str">
            <v>S</v>
          </cell>
        </row>
        <row r="37">
          <cell r="A37">
            <v>36</v>
          </cell>
          <cell r="B37" t="str">
            <v>"UPN" ESTRUCTURAL (Laminado)</v>
          </cell>
          <cell r="C37" t="str">
            <v>UPN 140</v>
          </cell>
          <cell r="D37">
            <v>16</v>
          </cell>
          <cell r="E37">
            <v>16</v>
          </cell>
          <cell r="F37">
            <v>60</v>
          </cell>
          <cell r="G37">
            <v>140</v>
          </cell>
          <cell r="H37">
            <v>7</v>
          </cell>
          <cell r="I37">
            <v>10</v>
          </cell>
          <cell r="K37">
            <v>493</v>
          </cell>
          <cell r="L37">
            <v>2039.9999999999998</v>
          </cell>
          <cell r="M37" t="str">
            <v>12.49.80.080.01</v>
          </cell>
          <cell r="N37">
            <v>6000</v>
          </cell>
          <cell r="O37" t="str">
            <v>A36</v>
          </cell>
          <cell r="P37" t="str">
            <v>S</v>
          </cell>
        </row>
        <row r="38">
          <cell r="A38">
            <v>37</v>
          </cell>
          <cell r="B38" t="str">
            <v>"UPN" ESTRUCTURAL (Laminado)</v>
          </cell>
          <cell r="C38" t="str">
            <v>UPN 160</v>
          </cell>
          <cell r="D38">
            <v>18.8</v>
          </cell>
          <cell r="E38">
            <v>18.8</v>
          </cell>
          <cell r="F38">
            <v>65</v>
          </cell>
          <cell r="G38">
            <v>160</v>
          </cell>
          <cell r="H38">
            <v>7.5</v>
          </cell>
          <cell r="I38">
            <v>10.5</v>
          </cell>
          <cell r="K38">
            <v>551.5</v>
          </cell>
          <cell r="L38">
            <v>2400</v>
          </cell>
          <cell r="M38" t="str">
            <v>12.49.80.090.01</v>
          </cell>
          <cell r="N38">
            <v>6000</v>
          </cell>
          <cell r="O38" t="str">
            <v>A36</v>
          </cell>
          <cell r="P38" t="str">
            <v>S</v>
          </cell>
        </row>
        <row r="39">
          <cell r="A39">
            <v>38</v>
          </cell>
          <cell r="B39" t="str">
            <v>"UPN" ESTRUCTURAL (Laminado)</v>
          </cell>
          <cell r="C39" t="str">
            <v>UPN 180</v>
          </cell>
          <cell r="D39">
            <v>22</v>
          </cell>
          <cell r="E39">
            <v>22</v>
          </cell>
          <cell r="F39">
            <v>70</v>
          </cell>
          <cell r="G39">
            <v>180</v>
          </cell>
          <cell r="H39">
            <v>8</v>
          </cell>
          <cell r="I39">
            <v>11</v>
          </cell>
          <cell r="K39">
            <v>610</v>
          </cell>
          <cell r="L39">
            <v>2800</v>
          </cell>
          <cell r="M39" t="str">
            <v>12.49.80.100.00</v>
          </cell>
          <cell r="O39" t="str">
            <v>A36</v>
          </cell>
          <cell r="P39" t="str">
            <v>S</v>
          </cell>
        </row>
        <row r="40">
          <cell r="A40">
            <v>39</v>
          </cell>
          <cell r="B40" t="str">
            <v>"UPN" ESTRUCTURAL (Laminado)</v>
          </cell>
          <cell r="C40" t="str">
            <v>UPN 200</v>
          </cell>
          <cell r="D40">
            <v>25.3</v>
          </cell>
          <cell r="E40">
            <v>25.3</v>
          </cell>
          <cell r="F40">
            <v>75</v>
          </cell>
          <cell r="G40">
            <v>200</v>
          </cell>
          <cell r="H40">
            <v>8.5</v>
          </cell>
          <cell r="I40">
            <v>11.5</v>
          </cell>
          <cell r="K40">
            <v>668.5</v>
          </cell>
          <cell r="L40">
            <v>3220.0000000000005</v>
          </cell>
          <cell r="M40" t="str">
            <v>12.49.80.110.00</v>
          </cell>
          <cell r="N40">
            <v>6000</v>
          </cell>
          <cell r="O40" t="str">
            <v>A36</v>
          </cell>
          <cell r="P40" t="str">
            <v>S</v>
          </cell>
        </row>
        <row r="41">
          <cell r="A41">
            <v>40</v>
          </cell>
          <cell r="B41" t="str">
            <v>"UPN" ESTRUCTURAL (Laminado)</v>
          </cell>
          <cell r="C41" t="str">
            <v>UPN 220</v>
          </cell>
          <cell r="D41">
            <v>29.4</v>
          </cell>
          <cell r="E41">
            <v>29.4</v>
          </cell>
          <cell r="F41">
            <v>80</v>
          </cell>
          <cell r="G41">
            <v>220</v>
          </cell>
          <cell r="H41">
            <v>9</v>
          </cell>
          <cell r="I41">
            <v>12.5</v>
          </cell>
          <cell r="K41">
            <v>726</v>
          </cell>
          <cell r="L41">
            <v>3740</v>
          </cell>
          <cell r="M41" t="str">
            <v>12.49.80.120.01</v>
          </cell>
          <cell r="N41">
            <v>12000</v>
          </cell>
          <cell r="O41" t="str">
            <v>A36</v>
          </cell>
          <cell r="P41" t="str">
            <v>S</v>
          </cell>
        </row>
        <row r="42">
          <cell r="A42">
            <v>41</v>
          </cell>
          <cell r="B42" t="str">
            <v>"UPN" ESTRUCTURAL (Laminado)</v>
          </cell>
          <cell r="C42" t="str">
            <v>UPN 240</v>
          </cell>
          <cell r="D42">
            <v>33.200000000000003</v>
          </cell>
          <cell r="E42">
            <v>33.200000000000003</v>
          </cell>
          <cell r="F42">
            <v>85</v>
          </cell>
          <cell r="G42">
            <v>240</v>
          </cell>
          <cell r="H42">
            <v>9.5</v>
          </cell>
          <cell r="I42">
            <v>13</v>
          </cell>
          <cell r="K42">
            <v>784.5</v>
          </cell>
          <cell r="L42">
            <v>4230</v>
          </cell>
          <cell r="M42" t="str">
            <v>12.49.80.130.00</v>
          </cell>
          <cell r="O42" t="str">
            <v>A36</v>
          </cell>
          <cell r="P42" t="str">
            <v>N</v>
          </cell>
        </row>
        <row r="43">
          <cell r="A43">
            <v>42</v>
          </cell>
          <cell r="B43" t="str">
            <v>"UPN" ESTRUCTURAL (Laminado)</v>
          </cell>
          <cell r="C43" t="str">
            <v>UPN 260</v>
          </cell>
          <cell r="D43">
            <v>37.9</v>
          </cell>
          <cell r="E43">
            <v>37.9</v>
          </cell>
          <cell r="F43">
            <v>90</v>
          </cell>
          <cell r="G43">
            <v>260</v>
          </cell>
          <cell r="H43">
            <v>10</v>
          </cell>
          <cell r="I43">
            <v>14</v>
          </cell>
          <cell r="K43">
            <v>842</v>
          </cell>
          <cell r="L43">
            <v>4830</v>
          </cell>
          <cell r="M43" t="str">
            <v>12.49.80.140.01</v>
          </cell>
          <cell r="N43">
            <v>12000</v>
          </cell>
          <cell r="O43" t="str">
            <v>A36</v>
          </cell>
          <cell r="P43" t="str">
            <v>N</v>
          </cell>
        </row>
        <row r="44">
          <cell r="A44">
            <v>43</v>
          </cell>
          <cell r="B44" t="str">
            <v>"UPN" ESTRUCTURAL (Laminado)</v>
          </cell>
          <cell r="C44" t="str">
            <v>UPN 280</v>
          </cell>
          <cell r="D44">
            <v>41.8</v>
          </cell>
          <cell r="E44">
            <v>41.8</v>
          </cell>
          <cell r="F44">
            <v>95</v>
          </cell>
          <cell r="G44">
            <v>280</v>
          </cell>
          <cell r="H44">
            <v>10</v>
          </cell>
          <cell r="I44">
            <v>15</v>
          </cell>
          <cell r="K44">
            <v>900</v>
          </cell>
          <cell r="L44">
            <v>5330</v>
          </cell>
          <cell r="M44" t="str">
            <v>12.49.80.150.00</v>
          </cell>
          <cell r="O44" t="str">
            <v>A36</v>
          </cell>
          <cell r="P44" t="str">
            <v>N</v>
          </cell>
        </row>
        <row r="45">
          <cell r="A45">
            <v>44</v>
          </cell>
          <cell r="B45" t="str">
            <v>"UPN" ESTRUCTURAL (Laminado)</v>
          </cell>
          <cell r="C45" t="str">
            <v>UPN 300</v>
          </cell>
          <cell r="D45">
            <v>46.2</v>
          </cell>
          <cell r="E45">
            <v>46.2</v>
          </cell>
          <cell r="F45">
            <v>100</v>
          </cell>
          <cell r="G45">
            <v>300</v>
          </cell>
          <cell r="H45">
            <v>10</v>
          </cell>
          <cell r="I45">
            <v>16</v>
          </cell>
          <cell r="K45">
            <v>958</v>
          </cell>
          <cell r="L45">
            <v>5880</v>
          </cell>
          <cell r="M45" t="str">
            <v>12.49.80.160.01</v>
          </cell>
          <cell r="N45">
            <v>12000</v>
          </cell>
          <cell r="O45" t="str">
            <v>A36</v>
          </cell>
          <cell r="P45" t="str">
            <v>N</v>
          </cell>
        </row>
        <row r="46">
          <cell r="A46">
            <v>45</v>
          </cell>
          <cell r="B46" t="str">
            <v>"IPN" ESTRUCTURAL (Laminado)</v>
          </cell>
          <cell r="C46" t="str">
            <v>IPN 80</v>
          </cell>
          <cell r="D46">
            <v>5.95</v>
          </cell>
          <cell r="E46">
            <v>5.95</v>
          </cell>
          <cell r="F46">
            <v>42</v>
          </cell>
          <cell r="G46">
            <v>80</v>
          </cell>
          <cell r="H46">
            <v>3.9</v>
          </cell>
          <cell r="I46">
            <v>5.9</v>
          </cell>
          <cell r="K46">
            <v>320.20000000000005</v>
          </cell>
          <cell r="L46">
            <v>758</v>
          </cell>
          <cell r="M46" t="str">
            <v>12.49.64.010.00</v>
          </cell>
          <cell r="O46" t="str">
            <v>A36</v>
          </cell>
          <cell r="P46" t="str">
            <v>S</v>
          </cell>
        </row>
        <row r="47">
          <cell r="A47">
            <v>46</v>
          </cell>
          <cell r="B47" t="str">
            <v>"IPN" ESTRUCTURAL (Laminado)</v>
          </cell>
          <cell r="C47" t="str">
            <v>IPN 100</v>
          </cell>
          <cell r="D47">
            <v>8.34</v>
          </cell>
          <cell r="E47">
            <v>8.34</v>
          </cell>
          <cell r="F47">
            <v>50</v>
          </cell>
          <cell r="G47">
            <v>100</v>
          </cell>
          <cell r="H47">
            <v>4.5</v>
          </cell>
          <cell r="I47">
            <v>6.8</v>
          </cell>
          <cell r="K47">
            <v>391</v>
          </cell>
          <cell r="L47">
            <v>1060</v>
          </cell>
          <cell r="M47" t="str">
            <v>12.49.64.020.00</v>
          </cell>
          <cell r="O47" t="str">
            <v>A36</v>
          </cell>
          <cell r="P47" t="str">
            <v>S</v>
          </cell>
        </row>
        <row r="48">
          <cell r="A48">
            <v>47</v>
          </cell>
          <cell r="B48" t="str">
            <v>"IPN" ESTRUCTURAL (Laminado)</v>
          </cell>
          <cell r="C48" t="str">
            <v>IPN 120</v>
          </cell>
          <cell r="D48">
            <v>11.1</v>
          </cell>
          <cell r="E48">
            <v>11.1</v>
          </cell>
          <cell r="F48">
            <v>58</v>
          </cell>
          <cell r="G48">
            <v>120</v>
          </cell>
          <cell r="H48">
            <v>5.0999999999999996</v>
          </cell>
          <cell r="I48">
            <v>7.7</v>
          </cell>
          <cell r="K48">
            <v>461.8</v>
          </cell>
          <cell r="L48">
            <v>1420</v>
          </cell>
          <cell r="M48" t="str">
            <v>12.49.64.030.00</v>
          </cell>
          <cell r="O48" t="str">
            <v>A36</v>
          </cell>
          <cell r="P48" t="str">
            <v>S</v>
          </cell>
        </row>
        <row r="49">
          <cell r="A49">
            <v>48</v>
          </cell>
          <cell r="B49" t="str">
            <v>"IPN" ESTRUCTURAL (Laminado)</v>
          </cell>
          <cell r="C49" t="str">
            <v>IPN 140</v>
          </cell>
          <cell r="D49">
            <v>14.3</v>
          </cell>
          <cell r="E49">
            <v>14.3</v>
          </cell>
          <cell r="F49">
            <v>66</v>
          </cell>
          <cell r="G49">
            <v>140</v>
          </cell>
          <cell r="H49">
            <v>5.7</v>
          </cell>
          <cell r="I49">
            <v>8.6</v>
          </cell>
          <cell r="J49">
            <v>3517</v>
          </cell>
          <cell r="K49">
            <v>532.6</v>
          </cell>
          <cell r="L49">
            <v>1830</v>
          </cell>
          <cell r="M49" t="str">
            <v>12.49.64.040.00</v>
          </cell>
          <cell r="O49" t="str">
            <v>A36</v>
          </cell>
          <cell r="P49" t="str">
            <v>S</v>
          </cell>
        </row>
        <row r="50">
          <cell r="A50">
            <v>49</v>
          </cell>
          <cell r="B50" t="str">
            <v>"IPN" ESTRUCTURAL (Laminado)</v>
          </cell>
          <cell r="C50" t="str">
            <v>IPN 160</v>
          </cell>
          <cell r="D50">
            <v>17.899999999999999</v>
          </cell>
          <cell r="E50">
            <v>17.899999999999999</v>
          </cell>
          <cell r="F50">
            <v>74</v>
          </cell>
          <cell r="G50">
            <v>160</v>
          </cell>
          <cell r="H50">
            <v>6.3</v>
          </cell>
          <cell r="I50">
            <v>9.5</v>
          </cell>
          <cell r="K50">
            <v>603.4</v>
          </cell>
          <cell r="L50">
            <v>2280</v>
          </cell>
          <cell r="M50" t="str">
            <v>12.49.64.050.00</v>
          </cell>
          <cell r="O50" t="str">
            <v>A36</v>
          </cell>
          <cell r="P50" t="str">
            <v>S</v>
          </cell>
        </row>
        <row r="51">
          <cell r="A51">
            <v>50</v>
          </cell>
          <cell r="B51" t="str">
            <v>"IPN" ESTRUCTURAL (Laminado)</v>
          </cell>
          <cell r="C51" t="str">
            <v>IPN 180</v>
          </cell>
          <cell r="D51">
            <v>21.9</v>
          </cell>
          <cell r="E51">
            <v>21.9</v>
          </cell>
          <cell r="F51">
            <v>82</v>
          </cell>
          <cell r="G51">
            <v>180</v>
          </cell>
          <cell r="H51">
            <v>6.9</v>
          </cell>
          <cell r="I51">
            <v>10.4</v>
          </cell>
          <cell r="K51">
            <v>674.19999999999993</v>
          </cell>
          <cell r="L51">
            <v>2790</v>
          </cell>
          <cell r="M51" t="str">
            <v>12.49.64.060.00</v>
          </cell>
          <cell r="O51" t="str">
            <v>A36</v>
          </cell>
          <cell r="P51" t="str">
            <v>S</v>
          </cell>
        </row>
        <row r="52">
          <cell r="A52">
            <v>51</v>
          </cell>
          <cell r="B52" t="str">
            <v>"IPN" ESTRUCTURAL (Laminado)</v>
          </cell>
          <cell r="C52" t="str">
            <v>IPN 200</v>
          </cell>
          <cell r="D52">
            <v>26.2</v>
          </cell>
          <cell r="E52">
            <v>26.2</v>
          </cell>
          <cell r="F52">
            <v>90</v>
          </cell>
          <cell r="G52">
            <v>200</v>
          </cell>
          <cell r="H52">
            <v>7.5</v>
          </cell>
          <cell r="I52">
            <v>11.3</v>
          </cell>
          <cell r="K52">
            <v>745</v>
          </cell>
          <cell r="L52">
            <v>3350</v>
          </cell>
          <cell r="M52" t="str">
            <v>12.49.64.070.00</v>
          </cell>
          <cell r="O52" t="str">
            <v>A36</v>
          </cell>
          <cell r="P52" t="str">
            <v>S</v>
          </cell>
        </row>
        <row r="53">
          <cell r="A53">
            <v>52</v>
          </cell>
          <cell r="B53" t="str">
            <v>"IPN" ESTRUCTURAL (Laminado)</v>
          </cell>
          <cell r="C53" t="str">
            <v>IPN 220</v>
          </cell>
          <cell r="D53">
            <v>31.1</v>
          </cell>
          <cell r="E53">
            <v>31.1</v>
          </cell>
          <cell r="F53">
            <v>98</v>
          </cell>
          <cell r="G53">
            <v>220</v>
          </cell>
          <cell r="H53">
            <v>8.1</v>
          </cell>
          <cell r="I53">
            <v>12.2</v>
          </cell>
          <cell r="K53">
            <v>815.8</v>
          </cell>
          <cell r="L53">
            <v>3960</v>
          </cell>
          <cell r="M53" t="str">
            <v>12.49.64.080.00</v>
          </cell>
          <cell r="O53" t="str">
            <v>A36</v>
          </cell>
          <cell r="P53" t="str">
            <v>S</v>
          </cell>
        </row>
        <row r="54">
          <cell r="A54">
            <v>53</v>
          </cell>
          <cell r="B54" t="str">
            <v>"IPN" ESTRUCTURAL (Laminado)</v>
          </cell>
          <cell r="C54" t="str">
            <v>IPN 240</v>
          </cell>
          <cell r="D54">
            <v>36.200000000000003</v>
          </cell>
          <cell r="E54">
            <v>36.200000000000003</v>
          </cell>
          <cell r="F54">
            <v>106</v>
          </cell>
          <cell r="G54">
            <v>240</v>
          </cell>
          <cell r="H54">
            <v>8.6999999999999993</v>
          </cell>
          <cell r="I54">
            <v>13.1</v>
          </cell>
          <cell r="K54">
            <v>886.6</v>
          </cell>
          <cell r="L54">
            <v>4610</v>
          </cell>
          <cell r="M54" t="str">
            <v>12.49.64.090.00</v>
          </cell>
          <cell r="O54" t="str">
            <v>A36</v>
          </cell>
          <cell r="P54" t="str">
            <v>S</v>
          </cell>
        </row>
        <row r="55">
          <cell r="A55">
            <v>54</v>
          </cell>
          <cell r="B55" t="str">
            <v>"IPN" ESTRUCTURAL (Laminado)</v>
          </cell>
          <cell r="C55" t="str">
            <v>IPN 260</v>
          </cell>
          <cell r="D55">
            <v>41.9</v>
          </cell>
          <cell r="E55">
            <v>41.9</v>
          </cell>
          <cell r="F55">
            <v>113</v>
          </cell>
          <cell r="G55">
            <v>260</v>
          </cell>
          <cell r="H55">
            <v>9.4</v>
          </cell>
          <cell r="I55">
            <v>14.1</v>
          </cell>
          <cell r="K55">
            <v>953.19999999999993</v>
          </cell>
          <cell r="L55">
            <v>5340</v>
          </cell>
          <cell r="M55" t="str">
            <v>12.49.64.100.00</v>
          </cell>
          <cell r="O55" t="str">
            <v>A36</v>
          </cell>
          <cell r="P55" t="str">
            <v>S</v>
          </cell>
        </row>
        <row r="56">
          <cell r="A56">
            <v>55</v>
          </cell>
          <cell r="B56" t="str">
            <v>"IPN" ESTRUCTURAL (Laminado)</v>
          </cell>
          <cell r="C56" t="str">
            <v>IPN 280</v>
          </cell>
          <cell r="D56">
            <v>47.9</v>
          </cell>
          <cell r="E56">
            <v>47.9</v>
          </cell>
          <cell r="F56">
            <v>119</v>
          </cell>
          <cell r="G56">
            <v>280</v>
          </cell>
          <cell r="H56">
            <v>10.1</v>
          </cell>
          <cell r="I56">
            <v>15.2</v>
          </cell>
          <cell r="K56">
            <v>1015.8</v>
          </cell>
          <cell r="L56">
            <v>6110</v>
          </cell>
          <cell r="M56" t="str">
            <v>12.49.64.110.00</v>
          </cell>
          <cell r="O56" t="str">
            <v>A36</v>
          </cell>
          <cell r="P56" t="str">
            <v>S</v>
          </cell>
        </row>
        <row r="57">
          <cell r="A57">
            <v>56</v>
          </cell>
          <cell r="B57" t="str">
            <v>"IPN" ESTRUCTURAL (Laminado)</v>
          </cell>
          <cell r="C57" t="str">
            <v>IPN 300</v>
          </cell>
          <cell r="D57">
            <v>54.2</v>
          </cell>
          <cell r="E57">
            <v>54.2</v>
          </cell>
          <cell r="F57">
            <v>125</v>
          </cell>
          <cell r="G57">
            <v>300</v>
          </cell>
          <cell r="H57">
            <v>10.8</v>
          </cell>
          <cell r="I57">
            <v>16.2</v>
          </cell>
          <cell r="K57">
            <v>1078.4000000000001</v>
          </cell>
          <cell r="L57">
            <v>6909.9999999999991</v>
          </cell>
          <cell r="M57" t="str">
            <v>12.49.64.120.00</v>
          </cell>
          <cell r="O57" t="str">
            <v>A36</v>
          </cell>
          <cell r="P57" t="str">
            <v>S</v>
          </cell>
        </row>
        <row r="58">
          <cell r="A58">
            <v>57</v>
          </cell>
          <cell r="B58" t="str">
            <v>"IPN" ESTRUCTURAL (Laminado)</v>
          </cell>
          <cell r="C58" t="str">
            <v>IPN 320</v>
          </cell>
          <cell r="D58">
            <v>61</v>
          </cell>
          <cell r="E58">
            <v>61</v>
          </cell>
          <cell r="F58">
            <v>131</v>
          </cell>
          <cell r="G58">
            <v>320</v>
          </cell>
          <cell r="H58">
            <v>11.5</v>
          </cell>
          <cell r="I58">
            <v>17.3</v>
          </cell>
          <cell r="K58">
            <v>1141</v>
          </cell>
          <cell r="L58">
            <v>7780</v>
          </cell>
          <cell r="M58" t="str">
            <v>12.49.64.130.00</v>
          </cell>
          <cell r="O58" t="str">
            <v>A36</v>
          </cell>
          <cell r="P58" t="str">
            <v>N</v>
          </cell>
        </row>
        <row r="59">
          <cell r="A59">
            <v>58</v>
          </cell>
          <cell r="B59" t="str">
            <v>"IPN" ESTRUCTURAL (Laminado)</v>
          </cell>
          <cell r="C59" t="str">
            <v>IPN 340</v>
          </cell>
          <cell r="D59">
            <v>68</v>
          </cell>
          <cell r="E59">
            <v>68</v>
          </cell>
          <cell r="F59">
            <v>137</v>
          </cell>
          <cell r="G59">
            <v>340</v>
          </cell>
          <cell r="H59">
            <v>12.2</v>
          </cell>
          <cell r="I59">
            <v>18.3</v>
          </cell>
          <cell r="K59">
            <v>1203.5999999999999</v>
          </cell>
          <cell r="L59">
            <v>8680</v>
          </cell>
          <cell r="M59" t="str">
            <v>12.49.64.140.00</v>
          </cell>
          <cell r="O59" t="str">
            <v>A36</v>
          </cell>
          <cell r="P59" t="str">
            <v>N</v>
          </cell>
        </row>
        <row r="60">
          <cell r="A60">
            <v>59</v>
          </cell>
          <cell r="B60" t="str">
            <v>"IPN" ESTRUCTURAL (Laminado)</v>
          </cell>
          <cell r="C60" t="str">
            <v>IPN 360</v>
          </cell>
          <cell r="D60">
            <v>76.099999999999994</v>
          </cell>
          <cell r="E60">
            <v>76.099999999999994</v>
          </cell>
          <cell r="F60">
            <v>143</v>
          </cell>
          <cell r="G60">
            <v>360</v>
          </cell>
          <cell r="H60">
            <v>13</v>
          </cell>
          <cell r="I60">
            <v>19.5</v>
          </cell>
          <cell r="K60">
            <v>1266</v>
          </cell>
          <cell r="L60">
            <v>9710</v>
          </cell>
          <cell r="M60" t="str">
            <v>12.49.64.150.00</v>
          </cell>
          <cell r="O60" t="str">
            <v>A36</v>
          </cell>
          <cell r="P60" t="str">
            <v>N</v>
          </cell>
        </row>
        <row r="61">
          <cell r="A61">
            <v>60</v>
          </cell>
          <cell r="B61" t="str">
            <v>"IPN" ESTRUCTURAL (Laminado)</v>
          </cell>
          <cell r="C61" t="str">
            <v>IPN 380</v>
          </cell>
          <cell r="D61">
            <v>84</v>
          </cell>
          <cell r="E61">
            <v>84</v>
          </cell>
          <cell r="F61">
            <v>149</v>
          </cell>
          <cell r="G61">
            <v>380</v>
          </cell>
          <cell r="H61">
            <v>13.7</v>
          </cell>
          <cell r="I61">
            <v>20.5</v>
          </cell>
          <cell r="K61">
            <v>1328.6</v>
          </cell>
          <cell r="L61">
            <v>10700</v>
          </cell>
          <cell r="M61" t="str">
            <v>12.49.64.160.00</v>
          </cell>
          <cell r="O61" t="str">
            <v>A36</v>
          </cell>
          <cell r="P61" t="str">
            <v>N</v>
          </cell>
        </row>
        <row r="62">
          <cell r="A62">
            <v>61</v>
          </cell>
          <cell r="B62" t="str">
            <v>"IPN" ESTRUCTURAL (Laminado)</v>
          </cell>
          <cell r="C62" t="str">
            <v>IPN 400</v>
          </cell>
          <cell r="D62">
            <v>92.4</v>
          </cell>
          <cell r="E62">
            <v>92.4</v>
          </cell>
          <cell r="F62">
            <v>155</v>
          </cell>
          <cell r="G62">
            <v>400</v>
          </cell>
          <cell r="H62">
            <v>14.4</v>
          </cell>
          <cell r="I62">
            <v>21.6</v>
          </cell>
          <cell r="K62">
            <v>1391.2</v>
          </cell>
          <cell r="L62">
            <v>11800</v>
          </cell>
          <cell r="M62" t="str">
            <v>12.49.64.170.00</v>
          </cell>
          <cell r="O62" t="str">
            <v>A36</v>
          </cell>
          <cell r="P62" t="str">
            <v>N</v>
          </cell>
        </row>
        <row r="63">
          <cell r="A63">
            <v>62</v>
          </cell>
          <cell r="B63" t="str">
            <v>"IPN" ESTRUCTURAL (Laminado)</v>
          </cell>
          <cell r="C63" t="str">
            <v>IPN 450</v>
          </cell>
          <cell r="D63">
            <v>115</v>
          </cell>
          <cell r="E63">
            <v>115</v>
          </cell>
          <cell r="F63">
            <v>170</v>
          </cell>
          <cell r="G63">
            <v>450</v>
          </cell>
          <cell r="H63">
            <v>16.2</v>
          </cell>
          <cell r="I63">
            <v>24.3</v>
          </cell>
          <cell r="K63">
            <v>1547.6000000000001</v>
          </cell>
          <cell r="L63">
            <v>14700</v>
          </cell>
          <cell r="M63" t="str">
            <v>12.49.64.190.00</v>
          </cell>
          <cell r="O63" t="str">
            <v>A36</v>
          </cell>
          <cell r="P63" t="str">
            <v>N</v>
          </cell>
        </row>
        <row r="64">
          <cell r="A64">
            <v>63</v>
          </cell>
          <cell r="B64" t="str">
            <v>"IPN" ESTRUCTURAL (Laminado)</v>
          </cell>
          <cell r="C64" t="str">
            <v>IPN 500</v>
          </cell>
          <cell r="D64">
            <v>141</v>
          </cell>
          <cell r="E64">
            <v>141</v>
          </cell>
          <cell r="F64">
            <v>185</v>
          </cell>
          <cell r="G64">
            <v>500</v>
          </cell>
          <cell r="H64">
            <v>18</v>
          </cell>
          <cell r="I64">
            <v>27</v>
          </cell>
          <cell r="K64">
            <v>1704</v>
          </cell>
          <cell r="L64">
            <v>18000</v>
          </cell>
          <cell r="M64" t="str">
            <v>12.49.64.210.00</v>
          </cell>
          <cell r="O64" t="str">
            <v>A36</v>
          </cell>
          <cell r="P64" t="str">
            <v>N</v>
          </cell>
        </row>
        <row r="65">
          <cell r="A65">
            <v>64</v>
          </cell>
          <cell r="B65" t="str">
            <v>"IPN" ESTRUCTURAL (Laminado)</v>
          </cell>
          <cell r="C65" t="str">
            <v>IPN 550</v>
          </cell>
          <cell r="D65">
            <v>166</v>
          </cell>
          <cell r="E65">
            <v>166</v>
          </cell>
          <cell r="F65">
            <v>200</v>
          </cell>
          <cell r="G65">
            <v>550</v>
          </cell>
          <cell r="H65">
            <v>19</v>
          </cell>
          <cell r="I65">
            <v>30</v>
          </cell>
          <cell r="K65">
            <v>1862</v>
          </cell>
          <cell r="L65">
            <v>21300</v>
          </cell>
          <cell r="M65" t="str">
            <v>12.49.64.220.00</v>
          </cell>
          <cell r="O65" t="str">
            <v>A36</v>
          </cell>
          <cell r="P65" t="str">
            <v>N</v>
          </cell>
        </row>
        <row r="66">
          <cell r="A66">
            <v>65</v>
          </cell>
          <cell r="B66" t="str">
            <v>"IPN" ESTRUCTURAL (Laminado)</v>
          </cell>
          <cell r="C66" t="str">
            <v>IPN 600</v>
          </cell>
          <cell r="D66">
            <v>199</v>
          </cell>
          <cell r="E66">
            <v>199</v>
          </cell>
          <cell r="F66">
            <v>215</v>
          </cell>
          <cell r="G66">
            <v>600</v>
          </cell>
          <cell r="H66">
            <v>21.6</v>
          </cell>
          <cell r="I66">
            <v>32.4</v>
          </cell>
          <cell r="K66">
            <v>2016.8</v>
          </cell>
          <cell r="L66">
            <v>21300</v>
          </cell>
          <cell r="M66" t="str">
            <v>12.49.64.230.00</v>
          </cell>
          <cell r="O66" t="str">
            <v>A36</v>
          </cell>
          <cell r="P66" t="str">
            <v>N</v>
          </cell>
        </row>
        <row r="67">
          <cell r="A67">
            <v>66</v>
          </cell>
          <cell r="B67" t="str">
            <v>"IPE" ESTRUCTURAL (Laminado)</v>
          </cell>
          <cell r="C67" t="str">
            <v>IPE 80</v>
          </cell>
          <cell r="D67">
            <v>6</v>
          </cell>
          <cell r="E67">
            <v>6</v>
          </cell>
          <cell r="F67">
            <v>46</v>
          </cell>
          <cell r="G67">
            <v>80</v>
          </cell>
          <cell r="H67">
            <v>3.8</v>
          </cell>
          <cell r="I67">
            <v>5.2</v>
          </cell>
          <cell r="K67">
            <v>336.40000000000003</v>
          </cell>
          <cell r="L67">
            <v>764</v>
          </cell>
          <cell r="M67" t="str">
            <v>12.49.48.010.00</v>
          </cell>
          <cell r="O67" t="str">
            <v>A36</v>
          </cell>
          <cell r="P67" t="str">
            <v>S</v>
          </cell>
        </row>
        <row r="68">
          <cell r="A68">
            <v>67</v>
          </cell>
          <cell r="B68" t="str">
            <v>"IPE" ESTRUCTURAL (Laminado)</v>
          </cell>
          <cell r="C68" t="str">
            <v>IPE 100</v>
          </cell>
          <cell r="D68">
            <v>8.1</v>
          </cell>
          <cell r="E68">
            <v>8.1</v>
          </cell>
          <cell r="F68">
            <v>55</v>
          </cell>
          <cell r="G68">
            <v>100</v>
          </cell>
          <cell r="H68">
            <v>4.0999999999999996</v>
          </cell>
          <cell r="I68">
            <v>5.7</v>
          </cell>
          <cell r="K68">
            <v>411.8</v>
          </cell>
          <cell r="L68">
            <v>1030</v>
          </cell>
          <cell r="M68" t="str">
            <v>12.49.48.020.00</v>
          </cell>
          <cell r="N68">
            <v>6000</v>
          </cell>
          <cell r="O68" t="str">
            <v>A36</v>
          </cell>
          <cell r="P68" t="str">
            <v>S</v>
          </cell>
        </row>
        <row r="69">
          <cell r="A69">
            <v>68</v>
          </cell>
          <cell r="B69" t="str">
            <v>"IPE" ESTRUCTURAL (Laminado)</v>
          </cell>
          <cell r="C69" t="str">
            <v>IPE 120</v>
          </cell>
          <cell r="D69">
            <v>10.4</v>
          </cell>
          <cell r="E69">
            <v>10.4</v>
          </cell>
          <cell r="F69">
            <v>64</v>
          </cell>
          <cell r="G69">
            <v>120</v>
          </cell>
          <cell r="H69">
            <v>4.4000000000000004</v>
          </cell>
          <cell r="I69">
            <v>6.3</v>
          </cell>
          <cell r="K69">
            <v>487.2</v>
          </cell>
          <cell r="L69">
            <v>1320</v>
          </cell>
          <cell r="M69" t="str">
            <v>12.49.48.030.00</v>
          </cell>
          <cell r="O69" t="str">
            <v>A36</v>
          </cell>
          <cell r="P69" t="str">
            <v>S</v>
          </cell>
        </row>
        <row r="70">
          <cell r="A70">
            <v>69</v>
          </cell>
          <cell r="B70" t="str">
            <v>"IPE" ESTRUCTURAL (Laminado)</v>
          </cell>
          <cell r="C70" t="str">
            <v>IPE 140</v>
          </cell>
          <cell r="D70">
            <v>12.9</v>
          </cell>
          <cell r="E70">
            <v>12.9</v>
          </cell>
          <cell r="F70">
            <v>73</v>
          </cell>
          <cell r="G70">
            <v>140</v>
          </cell>
          <cell r="H70">
            <v>4.7</v>
          </cell>
          <cell r="I70">
            <v>6.9</v>
          </cell>
          <cell r="K70">
            <v>562.6</v>
          </cell>
          <cell r="L70">
            <v>1639.9999999999998</v>
          </cell>
          <cell r="M70" t="str">
            <v>12.49.48.040.00</v>
          </cell>
          <cell r="O70" t="str">
            <v>A36</v>
          </cell>
          <cell r="P70" t="str">
            <v>S</v>
          </cell>
        </row>
        <row r="71">
          <cell r="A71">
            <v>70</v>
          </cell>
          <cell r="B71" t="str">
            <v>"IPE" ESTRUCTURAL (Laminado)</v>
          </cell>
          <cell r="C71" t="str">
            <v>IPE 160</v>
          </cell>
          <cell r="D71">
            <v>15.8</v>
          </cell>
          <cell r="E71">
            <v>15.8</v>
          </cell>
          <cell r="F71">
            <v>82</v>
          </cell>
          <cell r="G71">
            <v>160</v>
          </cell>
          <cell r="H71">
            <v>5</v>
          </cell>
          <cell r="I71">
            <v>7.4</v>
          </cell>
          <cell r="K71">
            <v>638</v>
          </cell>
          <cell r="L71">
            <v>2010.0000000000002</v>
          </cell>
          <cell r="M71" t="str">
            <v>12.49.48.050.00</v>
          </cell>
          <cell r="O71" t="str">
            <v>A36</v>
          </cell>
          <cell r="P71" t="str">
            <v>S</v>
          </cell>
        </row>
        <row r="72">
          <cell r="A72">
            <v>71</v>
          </cell>
          <cell r="B72" t="str">
            <v>"IPE" ESTRUCTURAL (Laminado)</v>
          </cell>
          <cell r="C72" t="str">
            <v>IPE 180</v>
          </cell>
          <cell r="D72">
            <v>18.8</v>
          </cell>
          <cell r="E72">
            <v>18.8</v>
          </cell>
          <cell r="F72">
            <v>91</v>
          </cell>
          <cell r="G72">
            <v>180</v>
          </cell>
          <cell r="H72">
            <v>5.3</v>
          </cell>
          <cell r="I72">
            <v>8</v>
          </cell>
          <cell r="K72">
            <v>713.4</v>
          </cell>
          <cell r="L72">
            <v>2390</v>
          </cell>
          <cell r="M72" t="str">
            <v>12.49.48.060.00</v>
          </cell>
          <cell r="O72" t="str">
            <v>A36</v>
          </cell>
          <cell r="P72" t="str">
            <v>S</v>
          </cell>
        </row>
        <row r="73">
          <cell r="A73">
            <v>72</v>
          </cell>
          <cell r="B73" t="str">
            <v>"IPE" ESTRUCTURAL (Laminado)</v>
          </cell>
          <cell r="C73" t="str">
            <v>IPE 200</v>
          </cell>
          <cell r="D73">
            <v>22.4</v>
          </cell>
          <cell r="E73">
            <v>22.4</v>
          </cell>
          <cell r="F73">
            <v>100</v>
          </cell>
          <cell r="G73">
            <v>200</v>
          </cell>
          <cell r="H73">
            <v>5.6</v>
          </cell>
          <cell r="I73">
            <v>8.5</v>
          </cell>
          <cell r="K73">
            <v>788.8</v>
          </cell>
          <cell r="L73">
            <v>2850</v>
          </cell>
          <cell r="M73" t="str">
            <v>12.49.48.070.01</v>
          </cell>
          <cell r="O73" t="str">
            <v>A36</v>
          </cell>
          <cell r="P73" t="str">
            <v>S</v>
          </cell>
        </row>
        <row r="74">
          <cell r="A74">
            <v>73</v>
          </cell>
          <cell r="B74" t="str">
            <v>"IPE" ESTRUCTURAL (Laminado)</v>
          </cell>
          <cell r="C74" t="str">
            <v>IPE 220</v>
          </cell>
          <cell r="D74">
            <v>26.2</v>
          </cell>
          <cell r="E74">
            <v>26.2</v>
          </cell>
          <cell r="F74">
            <v>110</v>
          </cell>
          <cell r="G74">
            <v>220</v>
          </cell>
          <cell r="H74">
            <v>5.9</v>
          </cell>
          <cell r="I74">
            <v>9.1999999999999993</v>
          </cell>
          <cell r="K74">
            <v>868.2</v>
          </cell>
          <cell r="L74">
            <v>3340</v>
          </cell>
          <cell r="M74" t="str">
            <v>12.49.48.080.00</v>
          </cell>
          <cell r="N74">
            <v>12000</v>
          </cell>
          <cell r="O74" t="str">
            <v>A36</v>
          </cell>
          <cell r="P74" t="str">
            <v>N</v>
          </cell>
        </row>
        <row r="75">
          <cell r="A75">
            <v>74</v>
          </cell>
          <cell r="B75" t="str">
            <v>"IPE" ESTRUCTURAL (Laminado)</v>
          </cell>
          <cell r="C75" t="str">
            <v>IPE 240</v>
          </cell>
          <cell r="D75">
            <v>30.7</v>
          </cell>
          <cell r="E75">
            <v>30.7</v>
          </cell>
          <cell r="F75">
            <v>120</v>
          </cell>
          <cell r="G75">
            <v>240</v>
          </cell>
          <cell r="H75">
            <v>6.2</v>
          </cell>
          <cell r="I75">
            <v>9.8000000000000007</v>
          </cell>
          <cell r="K75">
            <v>947.6</v>
          </cell>
          <cell r="L75">
            <v>3910</v>
          </cell>
          <cell r="M75" t="str">
            <v>12.49.48.090.00</v>
          </cell>
          <cell r="O75" t="str">
            <v>A36</v>
          </cell>
          <cell r="P75" t="str">
            <v>N</v>
          </cell>
        </row>
        <row r="76">
          <cell r="A76">
            <v>75</v>
          </cell>
          <cell r="B76" t="str">
            <v>"IPE" ESTRUCTURAL (Laminado)</v>
          </cell>
          <cell r="C76" t="str">
            <v>IPE 270</v>
          </cell>
          <cell r="D76">
            <v>36.1</v>
          </cell>
          <cell r="E76">
            <v>36.1</v>
          </cell>
          <cell r="F76">
            <v>135</v>
          </cell>
          <cell r="G76">
            <v>270</v>
          </cell>
          <cell r="H76">
            <v>6.6</v>
          </cell>
          <cell r="I76">
            <v>10.199999999999999</v>
          </cell>
          <cell r="K76">
            <v>1066.8</v>
          </cell>
          <cell r="L76">
            <v>4590</v>
          </cell>
          <cell r="M76" t="str">
            <v>12.49.48.100.00</v>
          </cell>
          <cell r="O76" t="str">
            <v>A36</v>
          </cell>
          <cell r="P76" t="str">
            <v>N</v>
          </cell>
        </row>
        <row r="77">
          <cell r="A77">
            <v>76</v>
          </cell>
          <cell r="B77" t="str">
            <v>"IPE" ESTRUCTURAL (Laminado)</v>
          </cell>
          <cell r="C77" t="str">
            <v>IPE 300</v>
          </cell>
          <cell r="D77">
            <v>42.2</v>
          </cell>
          <cell r="E77">
            <v>42.2</v>
          </cell>
          <cell r="F77">
            <v>150</v>
          </cell>
          <cell r="G77">
            <v>300</v>
          </cell>
          <cell r="H77">
            <v>7.1</v>
          </cell>
          <cell r="I77">
            <v>10.7</v>
          </cell>
          <cell r="K77">
            <v>1185.8</v>
          </cell>
          <cell r="L77">
            <v>5380</v>
          </cell>
          <cell r="M77" t="str">
            <v>12.49.48.110.01</v>
          </cell>
          <cell r="N77">
            <v>12000</v>
          </cell>
          <cell r="O77" t="str">
            <v>A36</v>
          </cell>
          <cell r="P77" t="str">
            <v>N</v>
          </cell>
        </row>
        <row r="78">
          <cell r="A78">
            <v>77</v>
          </cell>
          <cell r="B78" t="str">
            <v>"IPE" ESTRUCTURAL (Laminado)</v>
          </cell>
          <cell r="C78" t="str">
            <v>IPE 330</v>
          </cell>
          <cell r="D78">
            <v>49.1</v>
          </cell>
          <cell r="E78">
            <v>49.1</v>
          </cell>
          <cell r="F78">
            <v>160</v>
          </cell>
          <cell r="G78">
            <v>330</v>
          </cell>
          <cell r="H78">
            <v>7.5</v>
          </cell>
          <cell r="I78">
            <v>11.5</v>
          </cell>
          <cell r="K78">
            <v>1285</v>
          </cell>
          <cell r="L78">
            <v>6260</v>
          </cell>
          <cell r="M78" t="str">
            <v>12.49.49.120.00</v>
          </cell>
          <cell r="O78" t="str">
            <v>A36</v>
          </cell>
          <cell r="P78" t="str">
            <v>N</v>
          </cell>
        </row>
        <row r="79">
          <cell r="A79">
            <v>78</v>
          </cell>
          <cell r="B79" t="str">
            <v>"IPE" ESTRUCTURAL (Laminado)</v>
          </cell>
          <cell r="C79" t="str">
            <v>IPE 360</v>
          </cell>
          <cell r="D79">
            <v>57.1</v>
          </cell>
          <cell r="E79">
            <v>57.1</v>
          </cell>
          <cell r="F79">
            <v>170</v>
          </cell>
          <cell r="G79">
            <v>360</v>
          </cell>
          <cell r="H79">
            <v>8</v>
          </cell>
          <cell r="I79">
            <v>12.7</v>
          </cell>
          <cell r="K79">
            <v>1384</v>
          </cell>
          <cell r="L79">
            <v>7270</v>
          </cell>
          <cell r="M79" t="str">
            <v>12.49.48.130.00</v>
          </cell>
          <cell r="O79" t="str">
            <v>A36</v>
          </cell>
          <cell r="P79" t="str">
            <v>N</v>
          </cell>
        </row>
        <row r="80">
          <cell r="A80">
            <v>79</v>
          </cell>
          <cell r="B80" t="str">
            <v>"IPE" ESTRUCTURAL (Laminado)</v>
          </cell>
          <cell r="C80" t="str">
            <v>IPE 400</v>
          </cell>
          <cell r="D80">
            <v>66.3</v>
          </cell>
          <cell r="E80">
            <v>66.3</v>
          </cell>
          <cell r="F80">
            <v>180</v>
          </cell>
          <cell r="G80">
            <v>400</v>
          </cell>
          <cell r="H80">
            <v>8.6</v>
          </cell>
          <cell r="I80">
            <v>13.5</v>
          </cell>
          <cell r="K80">
            <v>1502.8</v>
          </cell>
          <cell r="L80">
            <v>8450</v>
          </cell>
          <cell r="M80" t="str">
            <v>12.49.48.140.00</v>
          </cell>
          <cell r="O80" t="str">
            <v>A36</v>
          </cell>
          <cell r="P80" t="str">
            <v>N</v>
          </cell>
        </row>
        <row r="81">
          <cell r="A81">
            <v>80</v>
          </cell>
          <cell r="B81" t="str">
            <v>"IPE" ESTRUCTURAL (Laminado)</v>
          </cell>
          <cell r="C81" t="str">
            <v>IPE 450</v>
          </cell>
          <cell r="D81">
            <v>77.599999999999994</v>
          </cell>
          <cell r="E81">
            <v>77.599999999999994</v>
          </cell>
          <cell r="F81">
            <v>190</v>
          </cell>
          <cell r="G81">
            <v>450</v>
          </cell>
          <cell r="H81">
            <v>9.4</v>
          </cell>
          <cell r="I81">
            <v>14.6</v>
          </cell>
          <cell r="K81">
            <v>1641.2</v>
          </cell>
          <cell r="L81">
            <v>9880</v>
          </cell>
          <cell r="M81" t="str">
            <v>12.49.48.150.00</v>
          </cell>
          <cell r="O81" t="str">
            <v>A36</v>
          </cell>
          <cell r="P81" t="str">
            <v>N</v>
          </cell>
        </row>
        <row r="82">
          <cell r="A82">
            <v>81</v>
          </cell>
          <cell r="B82" t="str">
            <v>"IPE" ESTRUCTURAL (Laminado)</v>
          </cell>
          <cell r="C82" t="str">
            <v>IPE 500</v>
          </cell>
          <cell r="D82">
            <v>90.7</v>
          </cell>
          <cell r="E82">
            <v>90.7</v>
          </cell>
          <cell r="F82">
            <v>200</v>
          </cell>
          <cell r="G82">
            <v>500</v>
          </cell>
          <cell r="H82">
            <v>10.199999999999999</v>
          </cell>
          <cell r="I82">
            <v>16</v>
          </cell>
          <cell r="K82">
            <v>1779.6</v>
          </cell>
          <cell r="L82">
            <v>11600</v>
          </cell>
          <cell r="M82" t="str">
            <v>12.49.48.160.00</v>
          </cell>
          <cell r="N82">
            <v>12000</v>
          </cell>
          <cell r="O82" t="str">
            <v>A36</v>
          </cell>
          <cell r="P82" t="str">
            <v>N</v>
          </cell>
        </row>
        <row r="83">
          <cell r="A83">
            <v>82</v>
          </cell>
          <cell r="B83" t="str">
            <v>"IPE" ESTRUCTURAL (Laminado)</v>
          </cell>
          <cell r="C83" t="str">
            <v>IPE 550</v>
          </cell>
          <cell r="D83">
            <v>106</v>
          </cell>
          <cell r="E83">
            <v>106</v>
          </cell>
          <cell r="F83">
            <v>210</v>
          </cell>
          <cell r="G83">
            <v>550</v>
          </cell>
          <cell r="H83">
            <v>11.1</v>
          </cell>
          <cell r="I83">
            <v>17.2</v>
          </cell>
          <cell r="K83">
            <v>1917.8</v>
          </cell>
          <cell r="L83">
            <v>13400</v>
          </cell>
          <cell r="M83" t="str">
            <v>12.49.48.170.00</v>
          </cell>
          <cell r="O83" t="str">
            <v>A36</v>
          </cell>
          <cell r="P83" t="str">
            <v>N</v>
          </cell>
        </row>
        <row r="84">
          <cell r="A84">
            <v>83</v>
          </cell>
          <cell r="B84" t="str">
            <v>"C" PERFIL ESTRUCTURAL (Canal)</v>
          </cell>
          <cell r="C84" t="str">
            <v>C 40x25x2</v>
          </cell>
          <cell r="D84">
            <v>1.31</v>
          </cell>
          <cell r="E84">
            <v>1.31</v>
          </cell>
          <cell r="F84">
            <v>25</v>
          </cell>
          <cell r="G84">
            <v>40</v>
          </cell>
          <cell r="H84">
            <v>2</v>
          </cell>
          <cell r="K84">
            <v>174</v>
          </cell>
          <cell r="L84">
            <v>167</v>
          </cell>
          <cell r="M84" t="str">
            <v>12.50.05.005.00</v>
          </cell>
          <cell r="O84" t="str">
            <v>A36</v>
          </cell>
          <cell r="P84" t="str">
            <v>N</v>
          </cell>
        </row>
        <row r="85">
          <cell r="A85">
            <v>84</v>
          </cell>
          <cell r="B85" t="str">
            <v>"C" PERFIL ESTRUCTURAL (Canal)</v>
          </cell>
          <cell r="C85" t="str">
            <v>C 50x25x1.5</v>
          </cell>
          <cell r="D85">
            <v>1.0833333333333333</v>
          </cell>
          <cell r="E85">
            <v>1.0833333333333333</v>
          </cell>
          <cell r="F85">
            <v>25</v>
          </cell>
          <cell r="G85">
            <v>50</v>
          </cell>
          <cell r="H85">
            <v>1.5</v>
          </cell>
          <cell r="K85">
            <v>195.5</v>
          </cell>
          <cell r="L85">
            <v>135</v>
          </cell>
          <cell r="M85" t="str">
            <v>12.50.05.010.00</v>
          </cell>
          <cell r="O85" t="str">
            <v>A36</v>
          </cell>
          <cell r="P85" t="str">
            <v>N</v>
          </cell>
        </row>
        <row r="86">
          <cell r="A86">
            <v>85</v>
          </cell>
          <cell r="B86" t="str">
            <v>"C" PERFIL ESTRUCTURAL (Canal)</v>
          </cell>
          <cell r="C86" t="str">
            <v>C 50x25x2</v>
          </cell>
          <cell r="D86">
            <v>1.47</v>
          </cell>
          <cell r="E86">
            <v>1.47</v>
          </cell>
          <cell r="F86">
            <v>25</v>
          </cell>
          <cell r="G86">
            <v>50</v>
          </cell>
          <cell r="H86">
            <v>2</v>
          </cell>
          <cell r="K86">
            <v>194</v>
          </cell>
          <cell r="L86">
            <v>187</v>
          </cell>
          <cell r="M86" t="str">
            <v>12.50.05.015.00</v>
          </cell>
          <cell r="O86" t="str">
            <v>A36</v>
          </cell>
          <cell r="P86" t="str">
            <v>N</v>
          </cell>
        </row>
        <row r="87">
          <cell r="A87">
            <v>86</v>
          </cell>
          <cell r="B87" t="str">
            <v>"C" PERFIL ESTRUCTURAL (Canal)</v>
          </cell>
          <cell r="C87" t="str">
            <v>C 50x25x3</v>
          </cell>
          <cell r="D87">
            <v>2.12</v>
          </cell>
          <cell r="E87">
            <v>2.12</v>
          </cell>
          <cell r="F87">
            <v>25</v>
          </cell>
          <cell r="G87">
            <v>50</v>
          </cell>
          <cell r="H87">
            <v>3</v>
          </cell>
          <cell r="K87">
            <v>191</v>
          </cell>
          <cell r="L87">
            <v>270</v>
          </cell>
          <cell r="M87" t="str">
            <v>12.50.05.020.00</v>
          </cell>
          <cell r="O87" t="str">
            <v>A36</v>
          </cell>
          <cell r="P87" t="str">
            <v>N</v>
          </cell>
        </row>
        <row r="88">
          <cell r="A88">
            <v>87</v>
          </cell>
          <cell r="B88" t="str">
            <v>"C" PERFIL ESTRUCTURAL (Canal)</v>
          </cell>
          <cell r="C88" t="str">
            <v>C 60x30x2</v>
          </cell>
          <cell r="D88">
            <v>1.7699999999999998</v>
          </cell>
          <cell r="E88">
            <v>1.7699999999999998</v>
          </cell>
          <cell r="F88">
            <v>30</v>
          </cell>
          <cell r="G88">
            <v>60</v>
          </cell>
          <cell r="H88">
            <v>2</v>
          </cell>
          <cell r="K88">
            <v>234</v>
          </cell>
          <cell r="L88">
            <v>225.99999999999997</v>
          </cell>
          <cell r="M88" t="str">
            <v>12.50.05.025.00</v>
          </cell>
          <cell r="O88" t="str">
            <v>A36</v>
          </cell>
          <cell r="P88" t="str">
            <v>N</v>
          </cell>
        </row>
        <row r="89">
          <cell r="A89">
            <v>88</v>
          </cell>
          <cell r="B89" t="str">
            <v>"C" PERFIL ESTRUCTURAL (Canal)</v>
          </cell>
          <cell r="C89" t="str">
            <v>C 60x30x3</v>
          </cell>
          <cell r="D89">
            <v>2.59</v>
          </cell>
          <cell r="E89">
            <v>2.59</v>
          </cell>
          <cell r="F89">
            <v>30</v>
          </cell>
          <cell r="G89">
            <v>60</v>
          </cell>
          <cell r="H89">
            <v>3</v>
          </cell>
          <cell r="K89">
            <v>231</v>
          </cell>
          <cell r="L89">
            <v>330</v>
          </cell>
          <cell r="M89" t="str">
            <v>12.50.05.030.00</v>
          </cell>
          <cell r="O89" t="str">
            <v>A36</v>
          </cell>
          <cell r="P89" t="str">
            <v>N</v>
          </cell>
        </row>
        <row r="90">
          <cell r="A90">
            <v>89</v>
          </cell>
          <cell r="B90" t="str">
            <v>"C" PERFIL ESTRUCTURAL (Canal)</v>
          </cell>
          <cell r="C90" t="str">
            <v>C 60x30x4</v>
          </cell>
          <cell r="D90">
            <v>3.3</v>
          </cell>
          <cell r="E90">
            <v>3.3</v>
          </cell>
          <cell r="F90">
            <v>30</v>
          </cell>
          <cell r="G90">
            <v>60</v>
          </cell>
          <cell r="H90">
            <v>4</v>
          </cell>
          <cell r="K90">
            <v>228</v>
          </cell>
          <cell r="L90">
            <v>420</v>
          </cell>
          <cell r="M90" t="str">
            <v>12.50.05.035.00</v>
          </cell>
          <cell r="O90" t="str">
            <v>A36</v>
          </cell>
          <cell r="P90" t="str">
            <v>N</v>
          </cell>
        </row>
        <row r="91">
          <cell r="A91">
            <v>90</v>
          </cell>
          <cell r="B91" t="str">
            <v>"C" PERFIL ESTRUCTURAL (Canal)</v>
          </cell>
          <cell r="C91" t="str">
            <v>C 80x40x2</v>
          </cell>
          <cell r="D91">
            <v>2.41</v>
          </cell>
          <cell r="E91">
            <v>2.41</v>
          </cell>
          <cell r="F91">
            <v>40</v>
          </cell>
          <cell r="G91">
            <v>80</v>
          </cell>
          <cell r="H91">
            <v>2</v>
          </cell>
          <cell r="K91">
            <v>314</v>
          </cell>
          <cell r="L91">
            <v>307</v>
          </cell>
          <cell r="M91" t="str">
            <v>12.50.05.050.00</v>
          </cell>
          <cell r="O91" t="str">
            <v>A36</v>
          </cell>
          <cell r="P91" t="str">
            <v>S</v>
          </cell>
        </row>
        <row r="92">
          <cell r="A92">
            <v>91</v>
          </cell>
          <cell r="B92" t="str">
            <v>"C" PERFIL ESTRUCTURAL (Canal)</v>
          </cell>
          <cell r="C92" t="str">
            <v>C 80x40x3</v>
          </cell>
          <cell r="D92">
            <v>3.54</v>
          </cell>
          <cell r="E92">
            <v>3.54</v>
          </cell>
          <cell r="F92">
            <v>40</v>
          </cell>
          <cell r="G92">
            <v>80</v>
          </cell>
          <cell r="H92">
            <v>3</v>
          </cell>
          <cell r="K92">
            <v>311</v>
          </cell>
          <cell r="L92">
            <v>450</v>
          </cell>
          <cell r="M92" t="str">
            <v>12.50.05.055.00</v>
          </cell>
          <cell r="O92" t="str">
            <v>A36</v>
          </cell>
          <cell r="P92" t="str">
            <v>S</v>
          </cell>
        </row>
        <row r="93">
          <cell r="A93">
            <v>92</v>
          </cell>
          <cell r="B93" t="str">
            <v>"C" PERFIL ESTRUCTURAL (Canal)</v>
          </cell>
          <cell r="C93" t="str">
            <v>C 80x40x4</v>
          </cell>
          <cell r="D93">
            <v>4.6100000000000003</v>
          </cell>
          <cell r="E93">
            <v>4.6100000000000003</v>
          </cell>
          <cell r="F93">
            <v>40</v>
          </cell>
          <cell r="G93">
            <v>80</v>
          </cell>
          <cell r="H93">
            <v>4</v>
          </cell>
          <cell r="K93">
            <v>308</v>
          </cell>
          <cell r="L93">
            <v>587</v>
          </cell>
          <cell r="M93" t="str">
            <v>12.50.05.060.00</v>
          </cell>
          <cell r="O93" t="str">
            <v>A36</v>
          </cell>
          <cell r="P93" t="str">
            <v>N</v>
          </cell>
        </row>
        <row r="94">
          <cell r="A94">
            <v>93</v>
          </cell>
          <cell r="B94" t="str">
            <v>"C" PERFIL ESTRUCTURAL (Canal)</v>
          </cell>
          <cell r="C94" t="str">
            <v>C 80x40x5</v>
          </cell>
          <cell r="D94">
            <v>5.74</v>
          </cell>
          <cell r="E94">
            <v>5.74</v>
          </cell>
          <cell r="F94">
            <v>40</v>
          </cell>
          <cell r="G94">
            <v>80</v>
          </cell>
          <cell r="H94">
            <v>5</v>
          </cell>
          <cell r="K94">
            <v>305</v>
          </cell>
          <cell r="L94">
            <v>718</v>
          </cell>
          <cell r="M94" t="str">
            <v>12.50.05.065.00</v>
          </cell>
          <cell r="O94" t="str">
            <v>A36</v>
          </cell>
          <cell r="P94" t="str">
            <v>N</v>
          </cell>
        </row>
        <row r="95">
          <cell r="A95">
            <v>94</v>
          </cell>
          <cell r="B95" t="str">
            <v>"C" PERFIL ESTRUCTURAL (Canal)</v>
          </cell>
          <cell r="C95" t="str">
            <v>C 80x40x6</v>
          </cell>
          <cell r="D95">
            <v>6.74</v>
          </cell>
          <cell r="E95">
            <v>6.74</v>
          </cell>
          <cell r="F95">
            <v>40</v>
          </cell>
          <cell r="G95">
            <v>80</v>
          </cell>
          <cell r="H95">
            <v>6</v>
          </cell>
          <cell r="K95">
            <v>302</v>
          </cell>
          <cell r="L95">
            <v>842</v>
          </cell>
          <cell r="M95" t="str">
            <v>12.50.05.070.00</v>
          </cell>
          <cell r="O95" t="str">
            <v>A36</v>
          </cell>
          <cell r="P95" t="str">
            <v>N</v>
          </cell>
        </row>
        <row r="96">
          <cell r="A96">
            <v>95</v>
          </cell>
          <cell r="B96" t="str">
            <v>"C" PERFIL ESTRUCTURAL (Canal)</v>
          </cell>
          <cell r="C96" t="str">
            <v>C 100x50x2</v>
          </cell>
          <cell r="D96">
            <v>3.0399999999999996</v>
          </cell>
          <cell r="E96">
            <v>3.0399999999999996</v>
          </cell>
          <cell r="F96">
            <v>50</v>
          </cell>
          <cell r="G96">
            <v>100</v>
          </cell>
          <cell r="H96">
            <v>2</v>
          </cell>
          <cell r="K96">
            <v>394</v>
          </cell>
          <cell r="L96">
            <v>387</v>
          </cell>
          <cell r="M96" t="str">
            <v>12.50.05.080.00</v>
          </cell>
          <cell r="O96" t="str">
            <v>A36</v>
          </cell>
          <cell r="P96" t="str">
            <v>S</v>
          </cell>
        </row>
        <row r="97">
          <cell r="A97">
            <v>96</v>
          </cell>
          <cell r="B97" t="str">
            <v>"C" PERFIL ESTRUCTURAL (Canal)</v>
          </cell>
          <cell r="C97" t="str">
            <v xml:space="preserve">C 100x50x3 </v>
          </cell>
          <cell r="D97">
            <v>4.4800000000000004</v>
          </cell>
          <cell r="E97">
            <v>4.4800000000000004</v>
          </cell>
          <cell r="F97">
            <v>50</v>
          </cell>
          <cell r="G97">
            <v>100</v>
          </cell>
          <cell r="H97">
            <v>3</v>
          </cell>
          <cell r="K97">
            <v>391</v>
          </cell>
          <cell r="L97">
            <v>570</v>
          </cell>
          <cell r="M97" t="str">
            <v>12.50.05.085.00</v>
          </cell>
          <cell r="O97" t="str">
            <v>A36</v>
          </cell>
          <cell r="P97" t="str">
            <v>S</v>
          </cell>
        </row>
        <row r="98">
          <cell r="A98">
            <v>97</v>
          </cell>
          <cell r="B98" t="str">
            <v>"C" PERFIL ESTRUCTURAL (Canal)</v>
          </cell>
          <cell r="C98" t="str">
            <v>C 100x50x4</v>
          </cell>
          <cell r="D98">
            <v>5.87</v>
          </cell>
          <cell r="E98">
            <v>5.87</v>
          </cell>
          <cell r="F98">
            <v>50</v>
          </cell>
          <cell r="G98">
            <v>100</v>
          </cell>
          <cell r="H98">
            <v>4</v>
          </cell>
          <cell r="K98">
            <v>388</v>
          </cell>
          <cell r="L98">
            <v>747</v>
          </cell>
          <cell r="M98" t="str">
            <v>12.50.05.090.00</v>
          </cell>
          <cell r="O98" t="str">
            <v>A36</v>
          </cell>
          <cell r="P98" t="str">
            <v>S</v>
          </cell>
        </row>
        <row r="99">
          <cell r="A99">
            <v>98</v>
          </cell>
          <cell r="B99" t="str">
            <v>"C" PERFIL ESTRUCTURAL (Canal)</v>
          </cell>
          <cell r="C99" t="str">
            <v>C 100x50x5</v>
          </cell>
          <cell r="D99">
            <v>7.2</v>
          </cell>
          <cell r="E99">
            <v>7.2</v>
          </cell>
          <cell r="F99">
            <v>50</v>
          </cell>
          <cell r="G99">
            <v>100</v>
          </cell>
          <cell r="H99">
            <v>5</v>
          </cell>
          <cell r="K99">
            <v>385</v>
          </cell>
          <cell r="L99">
            <v>918</v>
          </cell>
          <cell r="M99" t="str">
            <v>12.50.05.095.00</v>
          </cell>
          <cell r="O99" t="str">
            <v>A36</v>
          </cell>
          <cell r="P99" t="str">
            <v>S</v>
          </cell>
        </row>
        <row r="100">
          <cell r="A100">
            <v>99</v>
          </cell>
          <cell r="B100" t="str">
            <v>"C" PERFIL ESTRUCTURAL (Canal)</v>
          </cell>
          <cell r="C100" t="str">
            <v>C 100x50x6</v>
          </cell>
          <cell r="D100">
            <v>8.66</v>
          </cell>
          <cell r="E100">
            <v>8.66</v>
          </cell>
          <cell r="F100">
            <v>50</v>
          </cell>
          <cell r="G100">
            <v>100</v>
          </cell>
          <cell r="H100">
            <v>6</v>
          </cell>
          <cell r="K100">
            <v>382</v>
          </cell>
          <cell r="L100">
            <v>1082</v>
          </cell>
          <cell r="M100" t="str">
            <v>12.50.05.100.00</v>
          </cell>
          <cell r="O100" t="str">
            <v>A36</v>
          </cell>
          <cell r="P100" t="str">
            <v>S</v>
          </cell>
        </row>
        <row r="101">
          <cell r="A101">
            <v>100</v>
          </cell>
          <cell r="B101" t="str">
            <v>"C" PERFIL ESTRUCTURAL (Canal)</v>
          </cell>
          <cell r="C101" t="str">
            <v>C 125x50x2</v>
          </cell>
          <cell r="D101">
            <v>3.4299999999999997</v>
          </cell>
          <cell r="E101">
            <v>3.4299999999999997</v>
          </cell>
          <cell r="F101">
            <v>50</v>
          </cell>
          <cell r="G101">
            <v>125</v>
          </cell>
          <cell r="H101">
            <v>2</v>
          </cell>
          <cell r="K101">
            <v>444</v>
          </cell>
          <cell r="L101">
            <v>437</v>
          </cell>
          <cell r="M101" t="str">
            <v>12.50.05.125.00</v>
          </cell>
          <cell r="O101" t="str">
            <v>A36</v>
          </cell>
          <cell r="P101" t="str">
            <v>S</v>
          </cell>
        </row>
        <row r="102">
          <cell r="A102">
            <v>101</v>
          </cell>
          <cell r="B102" t="str">
            <v>"C" PERFIL ESTRUCTURAL (Canal)</v>
          </cell>
          <cell r="C102" t="str">
            <v>C 125x50x3</v>
          </cell>
          <cell r="D102">
            <v>5.07</v>
          </cell>
          <cell r="E102">
            <v>5.07</v>
          </cell>
          <cell r="F102">
            <v>50</v>
          </cell>
          <cell r="G102">
            <v>125</v>
          </cell>
          <cell r="H102">
            <v>3</v>
          </cell>
          <cell r="K102">
            <v>441</v>
          </cell>
          <cell r="L102">
            <v>645</v>
          </cell>
          <cell r="M102" t="str">
            <v>12.50.05.130.00</v>
          </cell>
          <cell r="O102" t="str">
            <v>A36</v>
          </cell>
          <cell r="P102" t="str">
            <v>S</v>
          </cell>
        </row>
        <row r="103">
          <cell r="A103">
            <v>102</v>
          </cell>
          <cell r="B103" t="str">
            <v>"C" PERFIL ESTRUCTURAL (Canal)</v>
          </cell>
          <cell r="C103" t="str">
            <v>C 125x50x4</v>
          </cell>
          <cell r="D103">
            <v>6.65</v>
          </cell>
          <cell r="E103">
            <v>6.65</v>
          </cell>
          <cell r="F103">
            <v>50</v>
          </cell>
          <cell r="G103">
            <v>125</v>
          </cell>
          <cell r="H103">
            <v>4</v>
          </cell>
          <cell r="K103">
            <v>438</v>
          </cell>
          <cell r="L103">
            <v>847.00000000000011</v>
          </cell>
          <cell r="M103" t="str">
            <v>12.50.05.135.00</v>
          </cell>
          <cell r="O103" t="str">
            <v>A36</v>
          </cell>
          <cell r="P103" t="str">
            <v>S</v>
          </cell>
        </row>
        <row r="104">
          <cell r="A104">
            <v>103</v>
          </cell>
          <cell r="B104" t="str">
            <v>"C" PERFIL ESTRUCTURAL (Canal)</v>
          </cell>
          <cell r="C104" t="str">
            <v>C 125x50x5</v>
          </cell>
          <cell r="D104">
            <v>8.19</v>
          </cell>
          <cell r="E104">
            <v>8.19</v>
          </cell>
          <cell r="F104">
            <v>50</v>
          </cell>
          <cell r="G104">
            <v>125</v>
          </cell>
          <cell r="H104">
            <v>5</v>
          </cell>
          <cell r="K104">
            <v>435</v>
          </cell>
          <cell r="L104">
            <v>1040</v>
          </cell>
          <cell r="M104" t="str">
            <v>12.50.05.140.00</v>
          </cell>
          <cell r="O104" t="str">
            <v>A36</v>
          </cell>
          <cell r="P104" t="str">
            <v>N</v>
          </cell>
        </row>
        <row r="105">
          <cell r="A105">
            <v>104</v>
          </cell>
          <cell r="B105" t="str">
            <v>"C" PERFIL ESTRUCTURAL (Canal)</v>
          </cell>
          <cell r="C105" t="str">
            <v>C 125x50x6</v>
          </cell>
          <cell r="D105">
            <v>9.86</v>
          </cell>
          <cell r="E105">
            <v>9.86</v>
          </cell>
          <cell r="F105">
            <v>50</v>
          </cell>
          <cell r="G105">
            <v>125</v>
          </cell>
          <cell r="H105">
            <v>6</v>
          </cell>
          <cell r="K105">
            <v>432</v>
          </cell>
          <cell r="L105">
            <v>1232</v>
          </cell>
          <cell r="M105" t="str">
            <v>12.50.05.145.00</v>
          </cell>
          <cell r="O105" t="str">
            <v>A36</v>
          </cell>
          <cell r="P105" t="str">
            <v>N</v>
          </cell>
        </row>
        <row r="106">
          <cell r="A106">
            <v>105</v>
          </cell>
          <cell r="B106" t="str">
            <v>"C" PERFIL ESTRUCTURAL (Canal)</v>
          </cell>
          <cell r="C106" t="str">
            <v>C 150x50x2</v>
          </cell>
          <cell r="D106">
            <v>3.82</v>
          </cell>
          <cell r="E106">
            <v>3.82</v>
          </cell>
          <cell r="F106">
            <v>50</v>
          </cell>
          <cell r="G106">
            <v>150</v>
          </cell>
          <cell r="H106">
            <v>2</v>
          </cell>
          <cell r="K106">
            <v>494</v>
          </cell>
          <cell r="L106">
            <v>487</v>
          </cell>
          <cell r="M106" t="str">
            <v>12.50.05.175.00</v>
          </cell>
          <cell r="O106" t="str">
            <v>A36</v>
          </cell>
          <cell r="P106" t="str">
            <v>S</v>
          </cell>
        </row>
        <row r="107">
          <cell r="A107">
            <v>106</v>
          </cell>
          <cell r="B107" t="str">
            <v>"C" PERFIL ESTRUCTURAL (Canal)</v>
          </cell>
          <cell r="C107" t="str">
            <v>C 150x50x3</v>
          </cell>
          <cell r="D107">
            <v>5.66</v>
          </cell>
          <cell r="E107">
            <v>5.66</v>
          </cell>
          <cell r="F107">
            <v>50</v>
          </cell>
          <cell r="G107">
            <v>150</v>
          </cell>
          <cell r="H107">
            <v>3</v>
          </cell>
          <cell r="K107">
            <v>491</v>
          </cell>
          <cell r="L107">
            <v>720</v>
          </cell>
          <cell r="M107" t="str">
            <v>12.50.05.180.00</v>
          </cell>
          <cell r="N107">
            <v>6000</v>
          </cell>
          <cell r="O107" t="str">
            <v>A36</v>
          </cell>
          <cell r="P107" t="str">
            <v>S</v>
          </cell>
        </row>
        <row r="108">
          <cell r="A108">
            <v>107</v>
          </cell>
          <cell r="B108" t="str">
            <v>"C" PERFIL ESTRUCTURAL (Canal)</v>
          </cell>
          <cell r="C108" t="str">
            <v>C 150x50x4</v>
          </cell>
          <cell r="D108">
            <v>7.44</v>
          </cell>
          <cell r="E108">
            <v>7.44</v>
          </cell>
          <cell r="F108">
            <v>50</v>
          </cell>
          <cell r="G108">
            <v>150</v>
          </cell>
          <cell r="H108">
            <v>4</v>
          </cell>
          <cell r="K108">
            <v>488</v>
          </cell>
          <cell r="L108">
            <v>947.00000000000011</v>
          </cell>
          <cell r="M108" t="str">
            <v>12.50.05.185.00</v>
          </cell>
          <cell r="O108" t="str">
            <v>A36</v>
          </cell>
          <cell r="P108" t="str">
            <v>S</v>
          </cell>
        </row>
        <row r="109">
          <cell r="A109">
            <v>108</v>
          </cell>
          <cell r="B109" t="str">
            <v>"C" PERFIL ESTRUCTURAL (Canal)</v>
          </cell>
          <cell r="C109" t="str">
            <v>C 150x50x5</v>
          </cell>
          <cell r="D109">
            <v>9.17</v>
          </cell>
          <cell r="E109">
            <v>9.17</v>
          </cell>
          <cell r="F109">
            <v>50</v>
          </cell>
          <cell r="G109">
            <v>150</v>
          </cell>
          <cell r="H109">
            <v>5</v>
          </cell>
          <cell r="K109">
            <v>485</v>
          </cell>
          <cell r="L109">
            <v>1170</v>
          </cell>
          <cell r="M109" t="str">
            <v>12.50.05.190.00</v>
          </cell>
          <cell r="O109" t="str">
            <v>A36</v>
          </cell>
          <cell r="P109" t="str">
            <v>S</v>
          </cell>
        </row>
        <row r="110">
          <cell r="A110">
            <v>109</v>
          </cell>
          <cell r="B110" t="str">
            <v>"C" PERFIL ESTRUCTURAL (Canal)</v>
          </cell>
          <cell r="C110" t="str">
            <v>C 150x50x6</v>
          </cell>
          <cell r="D110">
            <v>11.06</v>
          </cell>
          <cell r="E110">
            <v>11.06</v>
          </cell>
          <cell r="F110">
            <v>50</v>
          </cell>
          <cell r="G110">
            <v>150</v>
          </cell>
          <cell r="H110">
            <v>6</v>
          </cell>
          <cell r="K110">
            <v>482</v>
          </cell>
          <cell r="L110">
            <v>1382</v>
          </cell>
          <cell r="M110" t="str">
            <v>12.50.05.195.00</v>
          </cell>
          <cell r="O110" t="str">
            <v>A36</v>
          </cell>
          <cell r="P110" t="str">
            <v>S</v>
          </cell>
        </row>
        <row r="111">
          <cell r="A111">
            <v>110</v>
          </cell>
          <cell r="B111" t="str">
            <v>"C" PERFIL ESTRUCTURAL (Canal)</v>
          </cell>
          <cell r="C111" t="str">
            <v>C 160x65x8</v>
          </cell>
          <cell r="D111">
            <v>18.21</v>
          </cell>
          <cell r="E111">
            <v>18.21</v>
          </cell>
          <cell r="F111">
            <v>65</v>
          </cell>
          <cell r="G111">
            <v>160</v>
          </cell>
          <cell r="H111">
            <v>8</v>
          </cell>
          <cell r="K111">
            <v>556</v>
          </cell>
          <cell r="M111" t="str">
            <v>12.50.05.525.00</v>
          </cell>
          <cell r="O111" t="str">
            <v>A36</v>
          </cell>
          <cell r="P111" t="str">
            <v>N</v>
          </cell>
        </row>
        <row r="112">
          <cell r="A112">
            <v>111</v>
          </cell>
          <cell r="B112" t="str">
            <v>"C" PERFIL ESTRUCTURAL (Canal)</v>
          </cell>
          <cell r="C112" t="str">
            <v>C 200x50x2</v>
          </cell>
          <cell r="D112">
            <v>4.6066666666666665</v>
          </cell>
          <cell r="E112">
            <v>4.6066666666666665</v>
          </cell>
          <cell r="F112">
            <v>50</v>
          </cell>
          <cell r="G112">
            <v>200</v>
          </cell>
          <cell r="H112">
            <v>2</v>
          </cell>
          <cell r="K112">
            <v>594</v>
          </cell>
          <cell r="L112">
            <v>587</v>
          </cell>
          <cell r="M112" t="str">
            <v>12.50.05.255.00</v>
          </cell>
          <cell r="O112" t="str">
            <v>A36</v>
          </cell>
          <cell r="P112" t="str">
            <v>S</v>
          </cell>
        </row>
        <row r="113">
          <cell r="A113">
            <v>112</v>
          </cell>
          <cell r="B113" t="str">
            <v>"C" PERFIL ESTRUCTURAL (Canal)</v>
          </cell>
          <cell r="C113" t="str">
            <v>C 200x50x3</v>
          </cell>
          <cell r="D113">
            <v>6.8299999999999992</v>
          </cell>
          <cell r="E113">
            <v>6.8299999999999992</v>
          </cell>
          <cell r="F113">
            <v>50</v>
          </cell>
          <cell r="G113">
            <v>200</v>
          </cell>
          <cell r="H113">
            <v>3</v>
          </cell>
          <cell r="K113">
            <v>591</v>
          </cell>
          <cell r="L113">
            <v>869.99999999999989</v>
          </cell>
          <cell r="M113" t="str">
            <v>12.50.05.260.00</v>
          </cell>
          <cell r="O113" t="str">
            <v>A36</v>
          </cell>
          <cell r="P113" t="str">
            <v>S</v>
          </cell>
        </row>
        <row r="114">
          <cell r="A114">
            <v>113</v>
          </cell>
          <cell r="B114" t="str">
            <v>"C" PERFIL ESTRUCTURAL (Canal)</v>
          </cell>
          <cell r="C114" t="str">
            <v>C 200x50x4</v>
          </cell>
          <cell r="D114">
            <v>9.01</v>
          </cell>
          <cell r="E114">
            <v>9.01</v>
          </cell>
          <cell r="F114">
            <v>50</v>
          </cell>
          <cell r="G114">
            <v>200</v>
          </cell>
          <cell r="H114">
            <v>4</v>
          </cell>
          <cell r="K114">
            <v>588</v>
          </cell>
          <cell r="L114">
            <v>1150</v>
          </cell>
          <cell r="M114" t="str">
            <v>12.50.05.265.00</v>
          </cell>
          <cell r="O114" t="str">
            <v>A36</v>
          </cell>
          <cell r="P114" t="str">
            <v>S</v>
          </cell>
        </row>
        <row r="115">
          <cell r="A115">
            <v>114</v>
          </cell>
          <cell r="B115" t="str">
            <v>"C" PERFIL ESTRUCTURAL (Canal)</v>
          </cell>
          <cell r="C115" t="str">
            <v>C 200x50x5</v>
          </cell>
          <cell r="D115">
            <v>11.1</v>
          </cell>
          <cell r="E115">
            <v>11.1</v>
          </cell>
          <cell r="F115">
            <v>50</v>
          </cell>
          <cell r="G115">
            <v>200</v>
          </cell>
          <cell r="H115">
            <v>5</v>
          </cell>
          <cell r="K115">
            <v>585</v>
          </cell>
          <cell r="L115">
            <v>1420</v>
          </cell>
          <cell r="M115" t="str">
            <v>12.50.05.270.00</v>
          </cell>
          <cell r="O115" t="str">
            <v>A36</v>
          </cell>
          <cell r="P115" t="str">
            <v>N</v>
          </cell>
        </row>
        <row r="116">
          <cell r="A116">
            <v>115</v>
          </cell>
          <cell r="B116" t="str">
            <v>"C" PERFIL ESTRUCTURAL (Canal)</v>
          </cell>
          <cell r="C116" t="str">
            <v>C 200x50x6</v>
          </cell>
          <cell r="D116">
            <v>13.450000000000001</v>
          </cell>
          <cell r="E116">
            <v>13.450000000000001</v>
          </cell>
          <cell r="F116">
            <v>50</v>
          </cell>
          <cell r="G116">
            <v>200</v>
          </cell>
          <cell r="H116">
            <v>5</v>
          </cell>
          <cell r="K116">
            <v>585</v>
          </cell>
          <cell r="L116">
            <v>1681</v>
          </cell>
          <cell r="M116" t="str">
            <v>12.50.05.275.00</v>
          </cell>
          <cell r="O116" t="str">
            <v>A36</v>
          </cell>
          <cell r="P116" t="str">
            <v>N</v>
          </cell>
        </row>
        <row r="117">
          <cell r="A117">
            <v>116</v>
          </cell>
          <cell r="B117" t="str">
            <v>"C" PERFIL ESTRUCTURAL (Canal)</v>
          </cell>
          <cell r="C117" t="str">
            <v>C 200x60x4</v>
          </cell>
          <cell r="D117">
            <v>10.050000000000001</v>
          </cell>
          <cell r="E117">
            <v>10.050000000000001</v>
          </cell>
          <cell r="F117">
            <v>60</v>
          </cell>
          <cell r="G117">
            <v>200</v>
          </cell>
          <cell r="H117">
            <v>4</v>
          </cell>
          <cell r="K117">
            <v>628</v>
          </cell>
          <cell r="L117">
            <v>0</v>
          </cell>
          <cell r="M117" t="str">
            <v>12.50.05.280.00</v>
          </cell>
          <cell r="O117" t="str">
            <v>A36</v>
          </cell>
          <cell r="P117" t="str">
            <v>N</v>
          </cell>
        </row>
        <row r="118">
          <cell r="A118">
            <v>117</v>
          </cell>
          <cell r="B118" t="str">
            <v>"C" PERFIL ESTRUCTURAL (Canal)</v>
          </cell>
          <cell r="C118" t="str">
            <v>C 200x60x6</v>
          </cell>
          <cell r="D118">
            <v>14.42</v>
          </cell>
          <cell r="E118">
            <v>14.42</v>
          </cell>
          <cell r="F118">
            <v>60</v>
          </cell>
          <cell r="G118">
            <v>200</v>
          </cell>
          <cell r="H118">
            <v>6</v>
          </cell>
          <cell r="K118">
            <v>622</v>
          </cell>
          <cell r="L118">
            <v>1801</v>
          </cell>
          <cell r="M118" t="str">
            <v>12.50.05.290.00</v>
          </cell>
          <cell r="O118" t="str">
            <v>A36</v>
          </cell>
          <cell r="P118" t="str">
            <v>N</v>
          </cell>
        </row>
        <row r="119">
          <cell r="A119">
            <v>118</v>
          </cell>
          <cell r="B119" t="str">
            <v>"C" PERFIL ESTRUCTURAL (Canal)</v>
          </cell>
          <cell r="C119" t="str">
            <v>C 200x60x8</v>
          </cell>
          <cell r="D119">
            <v>18.8</v>
          </cell>
          <cell r="E119">
            <v>18.8</v>
          </cell>
          <cell r="F119">
            <v>60</v>
          </cell>
          <cell r="G119">
            <v>200</v>
          </cell>
          <cell r="H119">
            <v>8</v>
          </cell>
          <cell r="K119">
            <v>616</v>
          </cell>
          <cell r="L119">
            <v>2350</v>
          </cell>
          <cell r="M119" t="str">
            <v>12.50.05.295.00</v>
          </cell>
          <cell r="O119" t="str">
            <v>A36</v>
          </cell>
          <cell r="P119" t="str">
            <v>N</v>
          </cell>
        </row>
        <row r="120">
          <cell r="A120">
            <v>119</v>
          </cell>
          <cell r="B120" t="str">
            <v>"C" PERFIL ESTRUCTURAL (Canal)</v>
          </cell>
          <cell r="C120" t="str">
            <v>C 200x65x8</v>
          </cell>
          <cell r="D120">
            <v>19.72</v>
          </cell>
          <cell r="E120">
            <v>19.72</v>
          </cell>
          <cell r="F120">
            <v>65</v>
          </cell>
          <cell r="G120">
            <v>200</v>
          </cell>
          <cell r="H120">
            <v>8</v>
          </cell>
          <cell r="K120">
            <v>636</v>
          </cell>
          <cell r="L120">
            <v>0</v>
          </cell>
          <cell r="M120" t="str">
            <v>12.50.05.300.00</v>
          </cell>
          <cell r="O120" t="str">
            <v>A36</v>
          </cell>
          <cell r="P120" t="str">
            <v>N</v>
          </cell>
        </row>
        <row r="121">
          <cell r="A121">
            <v>120</v>
          </cell>
          <cell r="B121" t="str">
            <v>"C" PERFIL ESTRUCTURAL (Canal)</v>
          </cell>
          <cell r="C121" t="str">
            <v>C 200x80x4</v>
          </cell>
          <cell r="D121">
            <v>11.05</v>
          </cell>
          <cell r="E121">
            <v>11.05</v>
          </cell>
          <cell r="F121">
            <v>80</v>
          </cell>
          <cell r="G121">
            <v>200</v>
          </cell>
          <cell r="H121">
            <v>4</v>
          </cell>
          <cell r="K121">
            <v>708</v>
          </cell>
          <cell r="L121">
            <v>0</v>
          </cell>
          <cell r="M121" t="str">
            <v>12.50.05.305.00</v>
          </cell>
          <cell r="O121" t="str">
            <v>A36</v>
          </cell>
          <cell r="P121" t="str">
            <v>N</v>
          </cell>
        </row>
        <row r="122">
          <cell r="A122">
            <v>121</v>
          </cell>
          <cell r="B122" t="str">
            <v>"C" PERFIL ESTRUCTURAL (Canal)</v>
          </cell>
          <cell r="C122" t="str">
            <v>C 200x80x6</v>
          </cell>
          <cell r="D122">
            <v>16.34</v>
          </cell>
          <cell r="E122">
            <v>16.34</v>
          </cell>
          <cell r="F122">
            <v>80</v>
          </cell>
          <cell r="G122">
            <v>200</v>
          </cell>
          <cell r="H122">
            <v>6</v>
          </cell>
          <cell r="K122">
            <v>702</v>
          </cell>
          <cell r="L122">
            <v>2042</v>
          </cell>
          <cell r="M122" t="str">
            <v>12.50.05.310.00</v>
          </cell>
          <cell r="O122" t="str">
            <v>A36</v>
          </cell>
          <cell r="P122" t="str">
            <v>N</v>
          </cell>
        </row>
        <row r="123">
          <cell r="A123">
            <v>122</v>
          </cell>
          <cell r="B123" t="str">
            <v>"C" PERFIL ESTRUCTURAL (Canal)</v>
          </cell>
          <cell r="C123" t="str">
            <v>C 200x80x8</v>
          </cell>
          <cell r="D123">
            <v>21.349999999999998</v>
          </cell>
          <cell r="E123">
            <v>21.349999999999998</v>
          </cell>
          <cell r="F123">
            <v>80</v>
          </cell>
          <cell r="G123">
            <v>200</v>
          </cell>
          <cell r="H123">
            <v>8</v>
          </cell>
          <cell r="K123">
            <v>696</v>
          </cell>
          <cell r="L123">
            <v>2669</v>
          </cell>
          <cell r="M123" t="str">
            <v>12.50.05.320.00</v>
          </cell>
          <cell r="O123" t="str">
            <v>A36</v>
          </cell>
          <cell r="P123" t="str">
            <v>N</v>
          </cell>
        </row>
        <row r="124">
          <cell r="A124">
            <v>123</v>
          </cell>
          <cell r="B124" t="str">
            <v>"C" PERFIL ESTRUCTURAL (Canal)</v>
          </cell>
          <cell r="C124" t="str">
            <v>C 200x100x6</v>
          </cell>
          <cell r="D124">
            <v>18.260000000000002</v>
          </cell>
          <cell r="E124">
            <v>18.260000000000002</v>
          </cell>
          <cell r="F124">
            <v>100</v>
          </cell>
          <cell r="G124">
            <v>200</v>
          </cell>
          <cell r="H124">
            <v>6</v>
          </cell>
          <cell r="K124">
            <v>782</v>
          </cell>
          <cell r="L124">
            <v>2282</v>
          </cell>
          <cell r="M124" t="str">
            <v>12.50.05.335.00</v>
          </cell>
          <cell r="O124" t="str">
            <v>A36</v>
          </cell>
          <cell r="P124" t="str">
            <v>N</v>
          </cell>
        </row>
        <row r="125">
          <cell r="A125">
            <v>124</v>
          </cell>
          <cell r="B125" t="str">
            <v>"C" PERFIL ESTRUCTURAL (Canal)</v>
          </cell>
          <cell r="C125" t="str">
            <v>C 200x100x8</v>
          </cell>
          <cell r="D125">
            <v>23.91</v>
          </cell>
          <cell r="E125">
            <v>23.91</v>
          </cell>
          <cell r="F125">
            <v>100</v>
          </cell>
          <cell r="G125">
            <v>200</v>
          </cell>
          <cell r="H125">
            <v>8</v>
          </cell>
          <cell r="K125">
            <v>776</v>
          </cell>
          <cell r="L125">
            <v>2989</v>
          </cell>
          <cell r="M125" t="str">
            <v>12.50.05.340.00</v>
          </cell>
          <cell r="O125" t="str">
            <v>A36</v>
          </cell>
          <cell r="P125" t="str">
            <v>N</v>
          </cell>
        </row>
        <row r="126">
          <cell r="A126">
            <v>125</v>
          </cell>
          <cell r="B126" t="str">
            <v>"C" PERFIL ESTRUCTURAL (Canal)</v>
          </cell>
          <cell r="C126" t="str">
            <v>C 250x80x6</v>
          </cell>
          <cell r="D126">
            <v>18.739999999999998</v>
          </cell>
          <cell r="E126">
            <v>18.739999999999998</v>
          </cell>
          <cell r="F126">
            <v>80</v>
          </cell>
          <cell r="G126">
            <v>250</v>
          </cell>
          <cell r="H126">
            <v>6</v>
          </cell>
          <cell r="K126">
            <v>802</v>
          </cell>
          <cell r="L126">
            <v>2342</v>
          </cell>
          <cell r="M126" t="str">
            <v>12.50.05.380.00</v>
          </cell>
          <cell r="O126" t="str">
            <v>A36</v>
          </cell>
          <cell r="P126" t="str">
            <v>N</v>
          </cell>
        </row>
        <row r="127">
          <cell r="A127">
            <v>126</v>
          </cell>
          <cell r="B127" t="str">
            <v>"C" PERFIL ESTRUCTURAL (Canal)</v>
          </cell>
          <cell r="C127" t="str">
            <v>C 300x80x6</v>
          </cell>
          <cell r="D127">
            <v>21.14</v>
          </cell>
          <cell r="E127">
            <v>21.14</v>
          </cell>
          <cell r="F127">
            <v>80</v>
          </cell>
          <cell r="G127">
            <v>300</v>
          </cell>
          <cell r="H127">
            <v>6</v>
          </cell>
          <cell r="K127">
            <v>902</v>
          </cell>
          <cell r="L127">
            <v>2642</v>
          </cell>
          <cell r="M127" t="str">
            <v>12.50.05.440.00</v>
          </cell>
          <cell r="O127" t="str">
            <v>A36</v>
          </cell>
          <cell r="P127" t="str">
            <v>N</v>
          </cell>
        </row>
        <row r="128">
          <cell r="A128">
            <v>127</v>
          </cell>
          <cell r="B128" t="str">
            <v>"C" PERFIL ESTRUCTURAL (Canal)</v>
          </cell>
          <cell r="C128" t="str">
            <v>C 300x100x8</v>
          </cell>
          <cell r="D128">
            <v>30.310000000000002</v>
          </cell>
          <cell r="E128">
            <v>30.310000000000002</v>
          </cell>
          <cell r="F128">
            <v>100</v>
          </cell>
          <cell r="G128">
            <v>300</v>
          </cell>
          <cell r="H128">
            <v>8</v>
          </cell>
          <cell r="K128">
            <v>976</v>
          </cell>
          <cell r="L128">
            <v>3789</v>
          </cell>
          <cell r="M128" t="str">
            <v>12.50.05.465.00</v>
          </cell>
          <cell r="O128" t="str">
            <v>A36</v>
          </cell>
          <cell r="P128" t="str">
            <v>N</v>
          </cell>
        </row>
        <row r="129">
          <cell r="A129">
            <v>128</v>
          </cell>
          <cell r="B129" t="str">
            <v>"C" PERFIL ESTRUCTURAL (Canal)</v>
          </cell>
          <cell r="C129" t="str">
            <v>C 300x150x6</v>
          </cell>
          <cell r="D129">
            <v>28.26</v>
          </cell>
          <cell r="E129">
            <v>28.26</v>
          </cell>
          <cell r="F129">
            <v>150</v>
          </cell>
          <cell r="G129">
            <v>150</v>
          </cell>
          <cell r="H129">
            <v>6</v>
          </cell>
          <cell r="K129">
            <v>882</v>
          </cell>
          <cell r="M129" t="str">
            <v>12.50.05.500.00</v>
          </cell>
          <cell r="O129" t="str">
            <v>A36</v>
          </cell>
          <cell r="P129" t="str">
            <v>N</v>
          </cell>
        </row>
        <row r="130">
          <cell r="A130">
            <v>129</v>
          </cell>
          <cell r="B130" t="str">
            <v>"C" PERFIL ESTRUCTURAL (Canal)</v>
          </cell>
          <cell r="C130" t="str">
            <v>C 300x100x10</v>
          </cell>
          <cell r="D130">
            <v>37.36</v>
          </cell>
          <cell r="E130">
            <v>37.36</v>
          </cell>
          <cell r="F130">
            <v>100</v>
          </cell>
          <cell r="G130">
            <v>300</v>
          </cell>
          <cell r="H130">
            <v>8</v>
          </cell>
          <cell r="K130">
            <v>976</v>
          </cell>
          <cell r="L130">
            <v>4671</v>
          </cell>
          <cell r="M130" t="str">
            <v>12.50.05.470.00</v>
          </cell>
          <cell r="O130" t="str">
            <v>A36</v>
          </cell>
          <cell r="P130" t="str">
            <v>N</v>
          </cell>
        </row>
        <row r="131">
          <cell r="A131">
            <v>130</v>
          </cell>
          <cell r="B131" t="str">
            <v>"C" PERFIL ESTRUCTURAL (Canal)</v>
          </cell>
          <cell r="C131" t="str">
            <v>C 400x150x6</v>
          </cell>
          <cell r="D131">
            <v>31.83</v>
          </cell>
          <cell r="E131">
            <v>31.83</v>
          </cell>
          <cell r="F131">
            <v>150</v>
          </cell>
          <cell r="G131">
            <v>400</v>
          </cell>
          <cell r="H131">
            <v>6</v>
          </cell>
          <cell r="K131">
            <v>1382</v>
          </cell>
          <cell r="M131" t="str">
            <v>12.50.05.505.00</v>
          </cell>
          <cell r="O131" t="str">
            <v>A36</v>
          </cell>
          <cell r="P131" t="str">
            <v>N</v>
          </cell>
        </row>
        <row r="132">
          <cell r="A132">
            <v>131</v>
          </cell>
          <cell r="B132" t="str">
            <v>"G" PERFIL ESTRUCTURAL (Correas)</v>
          </cell>
          <cell r="C132" t="str">
            <v>G 60x30x10x1.5</v>
          </cell>
          <cell r="D132">
            <v>1.53</v>
          </cell>
          <cell r="E132">
            <v>1.53</v>
          </cell>
          <cell r="F132">
            <v>30</v>
          </cell>
          <cell r="G132">
            <v>60</v>
          </cell>
          <cell r="H132">
            <v>1.5</v>
          </cell>
          <cell r="J132">
            <v>10</v>
          </cell>
          <cell r="K132">
            <v>275.5</v>
          </cell>
          <cell r="L132">
            <v>195</v>
          </cell>
          <cell r="M132" t="str">
            <v>12.50.17.010.00</v>
          </cell>
          <cell r="O132" t="str">
            <v>A36</v>
          </cell>
          <cell r="P132" t="str">
            <v>N</v>
          </cell>
        </row>
        <row r="133">
          <cell r="A133">
            <v>132</v>
          </cell>
          <cell r="B133" t="str">
            <v>"G" PERFIL ESTRUCTURAL (Correas)</v>
          </cell>
          <cell r="C133" t="str">
            <v>G 60x30x10x2</v>
          </cell>
          <cell r="D133">
            <v>1.99</v>
          </cell>
          <cell r="E133">
            <v>1.99</v>
          </cell>
          <cell r="F133">
            <v>30</v>
          </cell>
          <cell r="G133">
            <v>60</v>
          </cell>
          <cell r="H133">
            <v>2</v>
          </cell>
          <cell r="J133">
            <v>10</v>
          </cell>
          <cell r="K133">
            <v>274</v>
          </cell>
          <cell r="L133">
            <v>254</v>
          </cell>
          <cell r="M133" t="str">
            <v>12.50.17.030.00</v>
          </cell>
          <cell r="O133" t="str">
            <v>A36</v>
          </cell>
          <cell r="P133" t="str">
            <v>N</v>
          </cell>
        </row>
        <row r="134">
          <cell r="A134">
            <v>133</v>
          </cell>
          <cell r="B134" t="str">
            <v>"G" PERFIL ESTRUCTURAL (Correas)</v>
          </cell>
          <cell r="C134" t="str">
            <v>G 60x30x10x3</v>
          </cell>
          <cell r="D134">
            <v>2.83</v>
          </cell>
          <cell r="E134">
            <v>2.83</v>
          </cell>
          <cell r="F134">
            <v>30</v>
          </cell>
          <cell r="G134">
            <v>60</v>
          </cell>
          <cell r="H134">
            <v>3</v>
          </cell>
          <cell r="J134">
            <v>10</v>
          </cell>
          <cell r="K134">
            <v>271</v>
          </cell>
          <cell r="L134">
            <v>361</v>
          </cell>
          <cell r="M134" t="str">
            <v>12.50.17.040.00</v>
          </cell>
          <cell r="O134" t="str">
            <v>A36</v>
          </cell>
          <cell r="P134" t="str">
            <v>N</v>
          </cell>
        </row>
        <row r="135">
          <cell r="A135">
            <v>134</v>
          </cell>
          <cell r="B135" t="str">
            <v>"G" PERFIL ESTRUCTURAL (Correas)</v>
          </cell>
          <cell r="C135" t="str">
            <v>G 80x40x15x2</v>
          </cell>
          <cell r="D135">
            <v>2.78</v>
          </cell>
          <cell r="E135">
            <v>2.78</v>
          </cell>
          <cell r="F135">
            <v>40</v>
          </cell>
          <cell r="G135">
            <v>80</v>
          </cell>
          <cell r="H135">
            <v>2</v>
          </cell>
          <cell r="J135">
            <v>15</v>
          </cell>
          <cell r="K135">
            <v>374</v>
          </cell>
          <cell r="L135">
            <v>354</v>
          </cell>
          <cell r="M135" t="str">
            <v>12.50.17.070.00</v>
          </cell>
          <cell r="O135" t="str">
            <v>A36</v>
          </cell>
          <cell r="P135" t="str">
            <v>S</v>
          </cell>
        </row>
        <row r="136">
          <cell r="A136">
            <v>135</v>
          </cell>
          <cell r="B136" t="str">
            <v>"G" PERFIL ESTRUCTURAL (Correas)</v>
          </cell>
          <cell r="C136" t="str">
            <v>G 80x40x15x3</v>
          </cell>
          <cell r="D136">
            <v>4.01</v>
          </cell>
          <cell r="E136">
            <v>4.01</v>
          </cell>
          <cell r="F136">
            <v>40</v>
          </cell>
          <cell r="G136">
            <v>80</v>
          </cell>
          <cell r="H136">
            <v>3</v>
          </cell>
          <cell r="J136">
            <v>15</v>
          </cell>
          <cell r="K136">
            <v>371</v>
          </cell>
          <cell r="L136">
            <v>511.00000000000006</v>
          </cell>
          <cell r="M136" t="str">
            <v>12.50.17.080.00</v>
          </cell>
          <cell r="O136" t="str">
            <v>A36</v>
          </cell>
          <cell r="P136" t="str">
            <v>S</v>
          </cell>
        </row>
        <row r="137">
          <cell r="A137">
            <v>136</v>
          </cell>
          <cell r="B137" t="str">
            <v>"G" PERFIL ESTRUCTURAL (Correas)</v>
          </cell>
          <cell r="C137" t="str">
            <v>G 100x50x15x2</v>
          </cell>
          <cell r="D137">
            <v>3.4</v>
          </cell>
          <cell r="E137">
            <v>3.4</v>
          </cell>
          <cell r="F137">
            <v>50</v>
          </cell>
          <cell r="G137">
            <v>100</v>
          </cell>
          <cell r="H137">
            <v>2</v>
          </cell>
          <cell r="J137">
            <v>15</v>
          </cell>
          <cell r="K137">
            <v>454</v>
          </cell>
          <cell r="L137">
            <v>434</v>
          </cell>
          <cell r="M137" t="str">
            <v>12.50.17.100.00</v>
          </cell>
          <cell r="O137" t="str">
            <v>A36</v>
          </cell>
          <cell r="P137" t="str">
            <v>S</v>
          </cell>
        </row>
        <row r="138">
          <cell r="A138">
            <v>137</v>
          </cell>
          <cell r="B138" t="str">
            <v>"G" PERFIL ESTRUCTURAL (Correas)</v>
          </cell>
          <cell r="C138" t="str">
            <v>G 100x50x15x3</v>
          </cell>
          <cell r="D138">
            <v>4.95</v>
          </cell>
          <cell r="E138">
            <v>4.95</v>
          </cell>
          <cell r="F138">
            <v>50</v>
          </cell>
          <cell r="G138">
            <v>100</v>
          </cell>
          <cell r="H138">
            <v>3</v>
          </cell>
          <cell r="J138">
            <v>15</v>
          </cell>
          <cell r="K138">
            <v>451</v>
          </cell>
          <cell r="L138">
            <v>631</v>
          </cell>
          <cell r="M138" t="str">
            <v>12.50.17.110.00</v>
          </cell>
          <cell r="O138" t="str">
            <v>A36</v>
          </cell>
          <cell r="P138" t="str">
            <v>S</v>
          </cell>
        </row>
        <row r="139">
          <cell r="A139">
            <v>138</v>
          </cell>
          <cell r="B139" t="str">
            <v>"G" PERFIL ESTRUCTURAL (Correas)</v>
          </cell>
          <cell r="C139" t="str">
            <v>G 100x50x20x4</v>
          </cell>
          <cell r="D139">
            <v>6.71</v>
          </cell>
          <cell r="E139">
            <v>6.71</v>
          </cell>
          <cell r="F139">
            <v>50</v>
          </cell>
          <cell r="G139">
            <v>100</v>
          </cell>
          <cell r="H139">
            <v>4</v>
          </cell>
          <cell r="J139">
            <v>20</v>
          </cell>
          <cell r="K139">
            <v>468</v>
          </cell>
          <cell r="L139">
            <v>855.00000000000011</v>
          </cell>
          <cell r="M139" t="str">
            <v>12.50.17.130.00</v>
          </cell>
          <cell r="O139" t="str">
            <v>A36</v>
          </cell>
          <cell r="P139" t="str">
            <v>N</v>
          </cell>
        </row>
        <row r="140">
          <cell r="A140">
            <v>139</v>
          </cell>
          <cell r="B140" t="str">
            <v>"G" PERFIL ESTRUCTURAL (Correas)</v>
          </cell>
          <cell r="C140" t="str">
            <v>G 100x50x25x4</v>
          </cell>
          <cell r="D140">
            <v>6.97</v>
          </cell>
          <cell r="E140">
            <v>6.97</v>
          </cell>
          <cell r="F140">
            <v>50</v>
          </cell>
          <cell r="G140">
            <v>100</v>
          </cell>
          <cell r="H140">
            <v>4</v>
          </cell>
          <cell r="J140">
            <v>25</v>
          </cell>
          <cell r="K140">
            <v>488</v>
          </cell>
          <cell r="M140" t="str">
            <v>12.50.17.140.00</v>
          </cell>
          <cell r="O140" t="str">
            <v>A36</v>
          </cell>
          <cell r="P140" t="str">
            <v>N</v>
          </cell>
        </row>
        <row r="141">
          <cell r="A141">
            <v>140</v>
          </cell>
          <cell r="B141" t="str">
            <v>"G" PERFIL ESTRUCTURAL (Correas)</v>
          </cell>
          <cell r="C141" t="str">
            <v>G 125x50x15x2</v>
          </cell>
          <cell r="D141">
            <v>3.8</v>
          </cell>
          <cell r="E141">
            <v>3.8</v>
          </cell>
          <cell r="F141">
            <v>50</v>
          </cell>
          <cell r="G141">
            <v>125</v>
          </cell>
          <cell r="H141">
            <v>2</v>
          </cell>
          <cell r="J141">
            <v>15</v>
          </cell>
          <cell r="K141">
            <v>504</v>
          </cell>
          <cell r="L141">
            <v>484</v>
          </cell>
          <cell r="M141" t="str">
            <v>12.50.17.160.00</v>
          </cell>
          <cell r="O141" t="str">
            <v>A36</v>
          </cell>
          <cell r="P141" t="str">
            <v>S</v>
          </cell>
        </row>
        <row r="142">
          <cell r="A142">
            <v>141</v>
          </cell>
          <cell r="B142" t="str">
            <v>"G" PERFIL ESTRUCTURAL (Correas)</v>
          </cell>
          <cell r="C142" t="str">
            <v>G 125x50x15x3</v>
          </cell>
          <cell r="D142">
            <v>5.54</v>
          </cell>
          <cell r="E142">
            <v>5.54</v>
          </cell>
          <cell r="F142">
            <v>50</v>
          </cell>
          <cell r="G142">
            <v>125</v>
          </cell>
          <cell r="H142">
            <v>3</v>
          </cell>
          <cell r="J142">
            <v>15</v>
          </cell>
          <cell r="K142">
            <v>501</v>
          </cell>
          <cell r="L142">
            <v>706</v>
          </cell>
          <cell r="M142" t="str">
            <v>12.50.17.170.00</v>
          </cell>
          <cell r="O142" t="str">
            <v>A36</v>
          </cell>
          <cell r="P142" t="str">
            <v>S</v>
          </cell>
        </row>
        <row r="143">
          <cell r="A143">
            <v>142</v>
          </cell>
          <cell r="B143" t="str">
            <v>"G" PERFIL ESTRUCTURAL (Correas)</v>
          </cell>
          <cell r="C143" t="str">
            <v>G 125x50x25x4</v>
          </cell>
          <cell r="D143">
            <v>7.63</v>
          </cell>
          <cell r="E143">
            <v>7.63</v>
          </cell>
          <cell r="F143">
            <v>50</v>
          </cell>
          <cell r="G143">
            <v>125</v>
          </cell>
          <cell r="H143">
            <v>4</v>
          </cell>
          <cell r="J143">
            <v>25</v>
          </cell>
          <cell r="K143">
            <v>538</v>
          </cell>
          <cell r="M143" t="str">
            <v>12.50.17.200.00</v>
          </cell>
          <cell r="O143" t="str">
            <v>A36</v>
          </cell>
          <cell r="P143" t="str">
            <v>S</v>
          </cell>
        </row>
        <row r="144">
          <cell r="A144">
            <v>143</v>
          </cell>
          <cell r="B144" t="str">
            <v>"G" PERFIL ESTRUCTURAL (Correas)</v>
          </cell>
          <cell r="C144" t="str">
            <v>G 150x50x15x2</v>
          </cell>
          <cell r="D144">
            <v>4.1399999999999997</v>
          </cell>
          <cell r="E144">
            <v>4.1399999999999997</v>
          </cell>
          <cell r="F144">
            <v>50</v>
          </cell>
          <cell r="G144">
            <v>150</v>
          </cell>
          <cell r="H144">
            <v>2</v>
          </cell>
          <cell r="J144">
            <v>15</v>
          </cell>
          <cell r="K144">
            <v>554</v>
          </cell>
          <cell r="L144">
            <v>534</v>
          </cell>
          <cell r="M144" t="str">
            <v>12.50.17.230.00</v>
          </cell>
          <cell r="O144" t="str">
            <v>A36</v>
          </cell>
          <cell r="P144" t="str">
            <v>S</v>
          </cell>
        </row>
        <row r="145">
          <cell r="A145">
            <v>144</v>
          </cell>
          <cell r="B145" t="str">
            <v>"G" PERFIL ESTRUCTURAL (Correas)</v>
          </cell>
          <cell r="C145" t="str">
            <v xml:space="preserve">G 150x50x15x3 </v>
          </cell>
          <cell r="D145">
            <v>6.13</v>
          </cell>
          <cell r="E145">
            <v>6.13</v>
          </cell>
          <cell r="F145">
            <v>50</v>
          </cell>
          <cell r="G145">
            <v>150</v>
          </cell>
          <cell r="H145">
            <v>3</v>
          </cell>
          <cell r="J145">
            <v>15</v>
          </cell>
          <cell r="K145">
            <v>551</v>
          </cell>
          <cell r="L145">
            <v>781</v>
          </cell>
          <cell r="M145" t="str">
            <v>12.50.17.240.00</v>
          </cell>
          <cell r="O145" t="str">
            <v>A36</v>
          </cell>
          <cell r="P145" t="str">
            <v>S</v>
          </cell>
        </row>
        <row r="146">
          <cell r="A146">
            <v>145</v>
          </cell>
          <cell r="B146" t="str">
            <v>"G" PERFIL ESTRUCTURAL (Correas)</v>
          </cell>
          <cell r="C146" t="str">
            <v>G 150x50x25x4</v>
          </cell>
          <cell r="D146">
            <v>8.6349999999999998</v>
          </cell>
          <cell r="E146">
            <v>8.6349999999999998</v>
          </cell>
          <cell r="F146">
            <v>50</v>
          </cell>
          <cell r="G146">
            <v>150</v>
          </cell>
          <cell r="H146">
            <v>4</v>
          </cell>
          <cell r="J146">
            <v>25</v>
          </cell>
          <cell r="K146">
            <v>588</v>
          </cell>
          <cell r="M146" t="str">
            <v>12.50.17.270.00</v>
          </cell>
          <cell r="O146" t="str">
            <v>A36</v>
          </cell>
          <cell r="P146" t="str">
            <v>S</v>
          </cell>
        </row>
        <row r="147">
          <cell r="A147">
            <v>146</v>
          </cell>
          <cell r="B147" t="str">
            <v>"G" PERFIL ESTRUCTURAL (Correas)</v>
          </cell>
          <cell r="C147" t="str">
            <v>G 175x50x15x3</v>
          </cell>
          <cell r="D147">
            <v>6.72</v>
          </cell>
          <cell r="E147">
            <v>6.72</v>
          </cell>
          <cell r="F147">
            <v>50</v>
          </cell>
          <cell r="G147">
            <v>175</v>
          </cell>
          <cell r="H147">
            <v>3</v>
          </cell>
          <cell r="J147">
            <v>15</v>
          </cell>
          <cell r="K147">
            <v>601</v>
          </cell>
          <cell r="L147">
            <v>856</v>
          </cell>
          <cell r="M147" t="str">
            <v>12.50.17.310.00</v>
          </cell>
          <cell r="O147" t="str">
            <v>A36</v>
          </cell>
          <cell r="P147" t="str">
            <v>N</v>
          </cell>
        </row>
        <row r="148">
          <cell r="A148">
            <v>147</v>
          </cell>
          <cell r="B148" t="str">
            <v>"G" PERFIL ESTRUCTURAL (Correas)</v>
          </cell>
          <cell r="C148" t="str">
            <v>G 200x50x15x2</v>
          </cell>
          <cell r="D148">
            <v>4.99</v>
          </cell>
          <cell r="E148">
            <v>4.99</v>
          </cell>
          <cell r="F148">
            <v>50</v>
          </cell>
          <cell r="G148">
            <v>200</v>
          </cell>
          <cell r="H148">
            <v>2</v>
          </cell>
          <cell r="J148">
            <v>15</v>
          </cell>
          <cell r="K148">
            <v>654</v>
          </cell>
          <cell r="L148">
            <v>636</v>
          </cell>
          <cell r="M148" t="str">
            <v>12.50.17.350.00</v>
          </cell>
          <cell r="O148" t="str">
            <v>A36</v>
          </cell>
          <cell r="P148" t="str">
            <v>S</v>
          </cell>
        </row>
        <row r="149">
          <cell r="A149">
            <v>148</v>
          </cell>
          <cell r="B149" t="str">
            <v>"G" PERFIL ESTRUCTURAL (Correas)</v>
          </cell>
          <cell r="C149" t="str">
            <v>G 200x50x15x3</v>
          </cell>
          <cell r="D149">
            <v>7.31</v>
          </cell>
          <cell r="E149">
            <v>7.31</v>
          </cell>
          <cell r="F149">
            <v>50</v>
          </cell>
          <cell r="G149">
            <v>200</v>
          </cell>
          <cell r="H149">
            <v>3</v>
          </cell>
          <cell r="J149">
            <v>15</v>
          </cell>
          <cell r="K149">
            <v>651</v>
          </cell>
          <cell r="L149">
            <v>931</v>
          </cell>
          <cell r="M149" t="str">
            <v>12.50.17.360.00</v>
          </cell>
          <cell r="O149" t="str">
            <v>A36</v>
          </cell>
          <cell r="P149" t="str">
            <v>S</v>
          </cell>
        </row>
        <row r="150">
          <cell r="A150">
            <v>149</v>
          </cell>
          <cell r="B150" t="str">
            <v>"G" PERFIL ESTRUCTURAL (Correas)</v>
          </cell>
          <cell r="C150" t="str">
            <v>G 200x50x25x4</v>
          </cell>
          <cell r="D150">
            <v>10.11</v>
          </cell>
          <cell r="E150">
            <v>10.11</v>
          </cell>
          <cell r="F150">
            <v>50</v>
          </cell>
          <cell r="G150">
            <v>200</v>
          </cell>
          <cell r="H150">
            <v>4</v>
          </cell>
          <cell r="J150">
            <v>25</v>
          </cell>
          <cell r="K150">
            <v>688</v>
          </cell>
          <cell r="M150" t="str">
            <v>12.50.17.380.00</v>
          </cell>
          <cell r="O150" t="str">
            <v>A36</v>
          </cell>
          <cell r="P150" t="str">
            <v>S</v>
          </cell>
        </row>
        <row r="151">
          <cell r="A151">
            <v>150</v>
          </cell>
          <cell r="B151" t="str">
            <v>"G" PERFIL ESTRUCTURAL (Correas)</v>
          </cell>
          <cell r="C151" t="str">
            <v>G 300x100x30x4</v>
          </cell>
          <cell r="D151">
            <v>16.8</v>
          </cell>
          <cell r="E151">
            <v>16.8</v>
          </cell>
          <cell r="F151">
            <v>100</v>
          </cell>
          <cell r="G151">
            <v>300</v>
          </cell>
          <cell r="H151">
            <v>4</v>
          </cell>
          <cell r="J151">
            <v>30</v>
          </cell>
          <cell r="K151">
            <v>1108</v>
          </cell>
          <cell r="L151">
            <v>2130</v>
          </cell>
          <cell r="M151" t="str">
            <v>12.50.17.470.00</v>
          </cell>
          <cell r="O151" t="str">
            <v>A36</v>
          </cell>
          <cell r="P151" t="str">
            <v>N</v>
          </cell>
        </row>
        <row r="152">
          <cell r="A152">
            <v>151</v>
          </cell>
          <cell r="B152" t="str">
            <v>"G" PERFIL ESTRUCTURAL (Correas)</v>
          </cell>
          <cell r="C152" t="str">
            <v>G 300x100x35x5</v>
          </cell>
          <cell r="D152">
            <v>21.099999999999998</v>
          </cell>
          <cell r="E152">
            <v>21.099999999999998</v>
          </cell>
          <cell r="F152">
            <v>100</v>
          </cell>
          <cell r="G152">
            <v>300</v>
          </cell>
          <cell r="H152">
            <v>5</v>
          </cell>
          <cell r="J152">
            <v>35</v>
          </cell>
          <cell r="K152">
            <v>1125</v>
          </cell>
          <cell r="L152">
            <v>2690</v>
          </cell>
          <cell r="M152" t="str">
            <v>12.50.17.480.00</v>
          </cell>
          <cell r="O152" t="str">
            <v>A36</v>
          </cell>
          <cell r="P152" t="str">
            <v>N</v>
          </cell>
        </row>
        <row r="153">
          <cell r="A153">
            <v>152</v>
          </cell>
          <cell r="B153" t="str">
            <v>"G" PERFIL ESTRUCTURAL (Correas)</v>
          </cell>
          <cell r="C153" t="str">
            <v>G 300x100x35x6</v>
          </cell>
          <cell r="D153">
            <v>25.790000000000003</v>
          </cell>
          <cell r="E153">
            <v>25.790000000000003</v>
          </cell>
          <cell r="F153">
            <v>100</v>
          </cell>
          <cell r="G153">
            <v>300</v>
          </cell>
          <cell r="H153">
            <v>6</v>
          </cell>
          <cell r="J153">
            <v>35</v>
          </cell>
          <cell r="K153">
            <v>1122</v>
          </cell>
          <cell r="L153">
            <v>3180</v>
          </cell>
          <cell r="M153" t="str">
            <v>12.50.17.490.00</v>
          </cell>
          <cell r="O153" t="str">
            <v>A36</v>
          </cell>
          <cell r="P153" t="str">
            <v>N</v>
          </cell>
        </row>
        <row r="154">
          <cell r="A154">
            <v>153</v>
          </cell>
          <cell r="B154" t="str">
            <v>"CANALES UV" PERFIL ESTRUCTURAL</v>
          </cell>
          <cell r="C154" t="str">
            <v>UV 60x60x60x6</v>
          </cell>
          <cell r="D154">
            <v>8.48</v>
          </cell>
          <cell r="E154">
            <v>8.48</v>
          </cell>
          <cell r="F154">
            <v>60</v>
          </cell>
          <cell r="G154">
            <v>60</v>
          </cell>
          <cell r="H154">
            <v>6</v>
          </cell>
          <cell r="K154">
            <v>372</v>
          </cell>
          <cell r="L154">
            <v>1080</v>
          </cell>
          <cell r="M154" t="str">
            <v>12.50.81.010.00</v>
          </cell>
          <cell r="O154" t="str">
            <v>A36</v>
          </cell>
          <cell r="P154" t="str">
            <v>S</v>
          </cell>
        </row>
        <row r="155">
          <cell r="A155">
            <v>154</v>
          </cell>
          <cell r="B155" t="str">
            <v>"CANALES UV" PERFIL ESTRUCTURAL</v>
          </cell>
          <cell r="C155" t="str">
            <v>UV 70x70x60x6</v>
          </cell>
          <cell r="D155">
            <v>9.42</v>
          </cell>
          <cell r="E155">
            <v>9.42</v>
          </cell>
          <cell r="F155">
            <v>60</v>
          </cell>
          <cell r="G155">
            <v>70</v>
          </cell>
          <cell r="H155">
            <v>6</v>
          </cell>
          <cell r="K155">
            <v>412</v>
          </cell>
          <cell r="M155" t="str">
            <v>12.50.81.040.00</v>
          </cell>
          <cell r="O155" t="str">
            <v>A36</v>
          </cell>
          <cell r="P155" t="str">
            <v>S</v>
          </cell>
        </row>
        <row r="156">
          <cell r="A156">
            <v>155</v>
          </cell>
          <cell r="B156" t="str">
            <v>"CANALES UV" PERFIL ESTRUCTURAL</v>
          </cell>
          <cell r="C156" t="str">
            <v>UV 75x75x50x6</v>
          </cell>
          <cell r="D156">
            <v>9.42</v>
          </cell>
          <cell r="E156">
            <v>9.42</v>
          </cell>
          <cell r="F156">
            <v>50</v>
          </cell>
          <cell r="G156">
            <v>75</v>
          </cell>
          <cell r="H156">
            <v>6</v>
          </cell>
          <cell r="K156">
            <v>412</v>
          </cell>
          <cell r="L156">
            <v>1200</v>
          </cell>
          <cell r="M156" t="str">
            <v>12.50.81.050.00</v>
          </cell>
          <cell r="O156" t="str">
            <v>A36</v>
          </cell>
          <cell r="P156" t="str">
            <v>S</v>
          </cell>
        </row>
        <row r="157">
          <cell r="A157">
            <v>156</v>
          </cell>
          <cell r="B157" t="str">
            <v>"CANALES UV" PERFIL ESTRUCTURAL</v>
          </cell>
          <cell r="C157" t="str">
            <v>UV 75x75x60x6</v>
          </cell>
          <cell r="D157">
            <v>9.89</v>
          </cell>
          <cell r="E157">
            <v>9.89</v>
          </cell>
          <cell r="F157">
            <v>60</v>
          </cell>
          <cell r="G157">
            <v>75</v>
          </cell>
          <cell r="H157">
            <v>6</v>
          </cell>
          <cell r="K157">
            <v>432</v>
          </cell>
          <cell r="L157">
            <v>1260</v>
          </cell>
          <cell r="M157" t="str">
            <v>12.50.81.060.00</v>
          </cell>
          <cell r="O157" t="str">
            <v>A36</v>
          </cell>
          <cell r="P157" t="str">
            <v>S</v>
          </cell>
        </row>
        <row r="158">
          <cell r="A158">
            <v>157</v>
          </cell>
          <cell r="B158" t="str">
            <v>"CANALES UV" PERFIL ESTRUCTURAL</v>
          </cell>
          <cell r="C158" t="str">
            <v>UV 80x80x80x6</v>
          </cell>
          <cell r="D158">
            <v>10.98</v>
          </cell>
          <cell r="E158">
            <v>10.98</v>
          </cell>
          <cell r="F158">
            <v>80</v>
          </cell>
          <cell r="G158">
            <v>80</v>
          </cell>
          <cell r="H158">
            <v>6</v>
          </cell>
          <cell r="K158">
            <v>492</v>
          </cell>
          <cell r="M158" t="str">
            <v>12.50.81.090.00</v>
          </cell>
          <cell r="O158" t="str">
            <v>A36</v>
          </cell>
          <cell r="P158" t="str">
            <v>S</v>
          </cell>
        </row>
        <row r="159">
          <cell r="A159">
            <v>158</v>
          </cell>
          <cell r="B159" t="str">
            <v>"CANALES UV" PERFIL ESTRUCTURAL</v>
          </cell>
          <cell r="C159" t="str">
            <v>UV 100x100x60x6</v>
          </cell>
          <cell r="D159">
            <v>12.25</v>
          </cell>
          <cell r="E159">
            <v>12.25</v>
          </cell>
          <cell r="F159">
            <v>60</v>
          </cell>
          <cell r="G159">
            <v>100</v>
          </cell>
          <cell r="H159">
            <v>6</v>
          </cell>
          <cell r="K159">
            <v>532</v>
          </cell>
          <cell r="L159">
            <v>1560</v>
          </cell>
          <cell r="M159" t="str">
            <v>12.50.81.120.00</v>
          </cell>
          <cell r="O159" t="str">
            <v>A36</v>
          </cell>
          <cell r="P159" t="str">
            <v>S</v>
          </cell>
        </row>
        <row r="160">
          <cell r="A160">
            <v>159</v>
          </cell>
          <cell r="B160" t="str">
            <v>"CANALES UV" PERFIL ESTRUCTURAL</v>
          </cell>
          <cell r="C160" t="str">
            <v>UV 100x100x60x8</v>
          </cell>
          <cell r="D160">
            <v>16.329999999999998</v>
          </cell>
          <cell r="E160">
            <v>16.329999999999998</v>
          </cell>
          <cell r="F160">
            <v>60</v>
          </cell>
          <cell r="G160">
            <v>100</v>
          </cell>
          <cell r="H160">
            <v>8</v>
          </cell>
          <cell r="K160">
            <v>536</v>
          </cell>
          <cell r="L160">
            <v>2080</v>
          </cell>
          <cell r="M160" t="str">
            <v>12.50.81.130.00</v>
          </cell>
          <cell r="O160" t="str">
            <v>A36</v>
          </cell>
          <cell r="P160" t="str">
            <v>S</v>
          </cell>
        </row>
        <row r="161">
          <cell r="A161">
            <v>160</v>
          </cell>
          <cell r="B161" t="str">
            <v>"CANALES UV" PERFIL ESTRUCTURAL</v>
          </cell>
          <cell r="C161" t="str">
            <v>UV 100x100x70x8</v>
          </cell>
          <cell r="D161">
            <v>16.96</v>
          </cell>
          <cell r="E161">
            <v>16.96</v>
          </cell>
          <cell r="F161">
            <v>70</v>
          </cell>
          <cell r="G161">
            <v>100</v>
          </cell>
          <cell r="H161">
            <v>8</v>
          </cell>
          <cell r="K161">
            <v>556</v>
          </cell>
          <cell r="L161">
            <v>2160</v>
          </cell>
          <cell r="M161" t="str">
            <v>12.50.81.150.00</v>
          </cell>
          <cell r="O161" t="str">
            <v>A36</v>
          </cell>
          <cell r="P161" t="str">
            <v>S</v>
          </cell>
        </row>
        <row r="162">
          <cell r="A162">
            <v>161</v>
          </cell>
          <cell r="B162" t="str">
            <v>"CANALES UV" PERFIL ESTRUCTURAL</v>
          </cell>
          <cell r="C162" t="str">
            <v>UV 100x100x60x10</v>
          </cell>
          <cell r="D162">
            <v>20.41</v>
          </cell>
          <cell r="E162">
            <v>20.41</v>
          </cell>
          <cell r="F162">
            <v>60</v>
          </cell>
          <cell r="G162">
            <v>100</v>
          </cell>
          <cell r="H162">
            <v>10</v>
          </cell>
          <cell r="K162">
            <v>540</v>
          </cell>
          <cell r="L162">
            <v>2600</v>
          </cell>
          <cell r="M162" t="str">
            <v>12.50.81.140.00</v>
          </cell>
          <cell r="O162" t="str">
            <v>A36</v>
          </cell>
          <cell r="P162" t="str">
            <v>S</v>
          </cell>
        </row>
        <row r="163">
          <cell r="A163">
            <v>162</v>
          </cell>
          <cell r="B163" t="str">
            <v>"CANALES UV" PERFIL ESTRUCTURAL</v>
          </cell>
          <cell r="C163" t="str">
            <v>UV 110x110x60x8</v>
          </cell>
          <cell r="D163">
            <v>17.579999999999998</v>
          </cell>
          <cell r="E163">
            <v>17.579999999999998</v>
          </cell>
          <cell r="F163">
            <v>60</v>
          </cell>
          <cell r="G163">
            <v>110</v>
          </cell>
          <cell r="H163">
            <v>8</v>
          </cell>
          <cell r="K163">
            <v>576</v>
          </cell>
          <cell r="M163" t="str">
            <v>12.50.81.160.00</v>
          </cell>
          <cell r="O163" t="str">
            <v>A36</v>
          </cell>
          <cell r="P163" t="str">
            <v>S</v>
          </cell>
        </row>
        <row r="164">
          <cell r="A164">
            <v>163</v>
          </cell>
          <cell r="B164" t="str">
            <v>"CANALES UV" PERFIL ESTRUCTURAL</v>
          </cell>
          <cell r="C164" t="str">
            <v>UV 110x110x80x8</v>
          </cell>
          <cell r="D164">
            <v>18.84</v>
          </cell>
          <cell r="E164">
            <v>18.84</v>
          </cell>
          <cell r="F164">
            <v>80</v>
          </cell>
          <cell r="G164">
            <v>110</v>
          </cell>
          <cell r="H164">
            <v>8</v>
          </cell>
          <cell r="K164">
            <v>616</v>
          </cell>
          <cell r="M164" t="str">
            <v>12.50.81.170.00</v>
          </cell>
          <cell r="O164" t="str">
            <v>A36</v>
          </cell>
          <cell r="P164" t="str">
            <v>S</v>
          </cell>
        </row>
        <row r="165">
          <cell r="A165">
            <v>164</v>
          </cell>
          <cell r="B165" t="str">
            <v>"CANALES UV" PERFIL ESTRUCTURAL</v>
          </cell>
          <cell r="C165" t="str">
            <v>UV 120x120x70x10</v>
          </cell>
          <cell r="D165">
            <v>24.34</v>
          </cell>
          <cell r="E165">
            <v>24.34</v>
          </cell>
          <cell r="F165">
            <v>70</v>
          </cell>
          <cell r="G165">
            <v>120</v>
          </cell>
          <cell r="H165">
            <v>10</v>
          </cell>
          <cell r="K165">
            <v>640</v>
          </cell>
          <cell r="L165">
            <v>3100</v>
          </cell>
          <cell r="M165" t="str">
            <v>12.50.81.200.00</v>
          </cell>
          <cell r="O165" t="str">
            <v>A36</v>
          </cell>
          <cell r="P165" t="str">
            <v>S</v>
          </cell>
        </row>
        <row r="166">
          <cell r="A166">
            <v>165</v>
          </cell>
          <cell r="B166" t="str">
            <v>"CANALES UV" PERFIL ESTRUCTURAL</v>
          </cell>
          <cell r="C166" t="str">
            <v>UV 120x120x70x12</v>
          </cell>
          <cell r="D166">
            <v>29.2</v>
          </cell>
          <cell r="E166">
            <v>29.2</v>
          </cell>
          <cell r="F166">
            <v>70</v>
          </cell>
          <cell r="G166">
            <v>120</v>
          </cell>
          <cell r="H166">
            <v>12</v>
          </cell>
          <cell r="K166">
            <v>644</v>
          </cell>
          <cell r="L166">
            <v>3720.0000000000005</v>
          </cell>
          <cell r="M166" t="str">
            <v>12.50.81.210.00</v>
          </cell>
          <cell r="O166" t="str">
            <v>A36</v>
          </cell>
          <cell r="P166" t="str">
            <v>S</v>
          </cell>
        </row>
        <row r="167">
          <cell r="A167">
            <v>166</v>
          </cell>
          <cell r="B167" t="str">
            <v>"CANALES UV" PERFIL ESTRUCTURAL</v>
          </cell>
          <cell r="C167" t="str">
            <v>UV 120x120x80x8</v>
          </cell>
          <cell r="D167">
            <v>19.96</v>
          </cell>
          <cell r="E167">
            <v>19.96</v>
          </cell>
          <cell r="F167">
            <v>80</v>
          </cell>
          <cell r="G167">
            <v>120</v>
          </cell>
          <cell r="H167">
            <v>8</v>
          </cell>
          <cell r="K167">
            <v>656</v>
          </cell>
          <cell r="M167" t="str">
            <v>12.50.81.220.00</v>
          </cell>
          <cell r="O167" t="str">
            <v>A36</v>
          </cell>
          <cell r="P167" t="str">
            <v>S</v>
          </cell>
        </row>
        <row r="168">
          <cell r="A168">
            <v>167</v>
          </cell>
          <cell r="B168" t="str">
            <v>"CANALES UV" PERFIL ESTRUCTURAL</v>
          </cell>
          <cell r="C168" t="str">
            <v>UV 120x120x80x10</v>
          </cell>
          <cell r="D168">
            <v>25.12</v>
          </cell>
          <cell r="E168">
            <v>25.12</v>
          </cell>
          <cell r="F168">
            <v>80</v>
          </cell>
          <cell r="G168">
            <v>120</v>
          </cell>
          <cell r="H168">
            <v>10</v>
          </cell>
          <cell r="K168">
            <v>660</v>
          </cell>
          <cell r="M168" t="str">
            <v>12.50.81.230.00</v>
          </cell>
          <cell r="O168" t="str">
            <v>A36</v>
          </cell>
          <cell r="P168" t="str">
            <v>S</v>
          </cell>
        </row>
        <row r="169">
          <cell r="A169">
            <v>168</v>
          </cell>
          <cell r="B169" t="str">
            <v>"CANALES UV" PERFIL ESTRUCTURAL</v>
          </cell>
          <cell r="C169" t="str">
            <v>UV 130x130x60x8</v>
          </cell>
          <cell r="D169">
            <v>20.100000000000001</v>
          </cell>
          <cell r="E169">
            <v>20.100000000000001</v>
          </cell>
          <cell r="F169">
            <v>60</v>
          </cell>
          <cell r="G169">
            <v>130</v>
          </cell>
          <cell r="H169">
            <v>8</v>
          </cell>
          <cell r="K169">
            <v>656</v>
          </cell>
          <cell r="M169" t="str">
            <v>12.50.81.240.00</v>
          </cell>
          <cell r="O169" t="str">
            <v>A36</v>
          </cell>
          <cell r="P169" t="str">
            <v>S</v>
          </cell>
        </row>
        <row r="170">
          <cell r="A170">
            <v>169</v>
          </cell>
          <cell r="B170" t="str">
            <v>"CANALES UV" PERFIL ESTRUCTURAL</v>
          </cell>
          <cell r="C170" t="str">
            <v>UV 130x130x80x10</v>
          </cell>
          <cell r="D170">
            <v>26.69</v>
          </cell>
          <cell r="E170">
            <v>26.69</v>
          </cell>
          <cell r="F170">
            <v>80</v>
          </cell>
          <cell r="G170">
            <v>130</v>
          </cell>
          <cell r="H170">
            <v>10</v>
          </cell>
          <cell r="K170">
            <v>700</v>
          </cell>
          <cell r="M170" t="str">
            <v>12.50.81.260.00</v>
          </cell>
          <cell r="O170" t="str">
            <v>A36</v>
          </cell>
          <cell r="P170" t="str">
            <v>S</v>
          </cell>
        </row>
        <row r="171">
          <cell r="A171">
            <v>170</v>
          </cell>
          <cell r="B171" t="str">
            <v>"CANALES UV" PERFIL ESTRUCTURAL</v>
          </cell>
          <cell r="C171" t="str">
            <v>UV 140x140x80x12</v>
          </cell>
          <cell r="D171">
            <v>33.909999999999997</v>
          </cell>
          <cell r="E171">
            <v>33.909999999999997</v>
          </cell>
          <cell r="F171">
            <v>80</v>
          </cell>
          <cell r="G171">
            <v>140</v>
          </cell>
          <cell r="H171">
            <v>12</v>
          </cell>
          <cell r="K171">
            <v>744</v>
          </cell>
          <cell r="M171" t="str">
            <v>12.50.81.280.00</v>
          </cell>
          <cell r="O171" t="str">
            <v>A36</v>
          </cell>
          <cell r="P171" t="str">
            <v>S</v>
          </cell>
        </row>
        <row r="172">
          <cell r="A172">
            <v>171</v>
          </cell>
          <cell r="B172" t="str">
            <v>"CANALES UV" PERFIL ESTRUCTURAL</v>
          </cell>
          <cell r="C172" t="str">
            <v>UV 150x150x80x12</v>
          </cell>
          <cell r="D172">
            <v>35.799999999999997</v>
          </cell>
          <cell r="E172">
            <v>35.799999999999997</v>
          </cell>
          <cell r="F172">
            <v>80</v>
          </cell>
          <cell r="G172">
            <v>150</v>
          </cell>
          <cell r="H172">
            <v>12</v>
          </cell>
          <cell r="K172">
            <v>784</v>
          </cell>
          <cell r="L172">
            <v>4560</v>
          </cell>
          <cell r="M172" t="str">
            <v>12.50.81.320.00</v>
          </cell>
          <cell r="O172" t="str">
            <v>A36</v>
          </cell>
          <cell r="P172" t="str">
            <v>S</v>
          </cell>
        </row>
        <row r="173">
          <cell r="A173">
            <v>172</v>
          </cell>
          <cell r="B173" t="str">
            <v>"CANALES UV" PERFIL ESTRUCTURAL</v>
          </cell>
          <cell r="C173" t="str">
            <v>UV 160x160x80x10</v>
          </cell>
          <cell r="D173">
            <v>31.4</v>
          </cell>
          <cell r="E173">
            <v>31.4</v>
          </cell>
          <cell r="F173">
            <v>80</v>
          </cell>
          <cell r="G173">
            <v>160</v>
          </cell>
          <cell r="H173">
            <v>10</v>
          </cell>
          <cell r="K173">
            <v>820</v>
          </cell>
          <cell r="M173" t="str">
            <v>12.50.81.330.00</v>
          </cell>
          <cell r="O173" t="str">
            <v>A36</v>
          </cell>
          <cell r="P173" t="str">
            <v>S</v>
          </cell>
        </row>
        <row r="174">
          <cell r="A174">
            <v>173</v>
          </cell>
          <cell r="B174" t="str">
            <v>"CANALES UV" PERFIL ESTRUCTURAL</v>
          </cell>
          <cell r="C174" t="str">
            <v>UV 160x160x80x12</v>
          </cell>
          <cell r="D174">
            <v>37.68</v>
          </cell>
          <cell r="E174">
            <v>37.68</v>
          </cell>
          <cell r="F174">
            <v>80</v>
          </cell>
          <cell r="G174">
            <v>160</v>
          </cell>
          <cell r="H174">
            <v>12</v>
          </cell>
          <cell r="K174">
            <v>824</v>
          </cell>
          <cell r="M174" t="str">
            <v>12.50.81.340.00</v>
          </cell>
          <cell r="O174" t="str">
            <v>A36</v>
          </cell>
          <cell r="P174" t="str">
            <v>S</v>
          </cell>
        </row>
        <row r="175">
          <cell r="A175">
            <v>174</v>
          </cell>
          <cell r="B175" t="str">
            <v>"CANALES UV" PERFIL ESTRUCTURAL</v>
          </cell>
          <cell r="C175" t="str">
            <v>UV 170x170x80x12</v>
          </cell>
          <cell r="D175">
            <v>39.56</v>
          </cell>
          <cell r="E175">
            <v>39.56</v>
          </cell>
          <cell r="F175">
            <v>80</v>
          </cell>
          <cell r="G175">
            <v>170</v>
          </cell>
          <cell r="H175">
            <v>12</v>
          </cell>
          <cell r="K175">
            <v>864</v>
          </cell>
          <cell r="M175" t="str">
            <v>12.50.81.380.00</v>
          </cell>
          <cell r="O175" t="str">
            <v>A36</v>
          </cell>
          <cell r="P175" t="str">
            <v>S</v>
          </cell>
        </row>
        <row r="176">
          <cell r="A176">
            <v>175</v>
          </cell>
          <cell r="B176" t="str">
            <v>"CANALES UV" PERFIL ESTRUCTURAL</v>
          </cell>
          <cell r="C176" t="str">
            <v>UV 180x180x80x12</v>
          </cell>
          <cell r="D176">
            <v>41.45</v>
          </cell>
          <cell r="E176">
            <v>41.45</v>
          </cell>
          <cell r="F176">
            <v>80</v>
          </cell>
          <cell r="G176">
            <v>180</v>
          </cell>
          <cell r="H176">
            <v>12</v>
          </cell>
          <cell r="K176">
            <v>904</v>
          </cell>
          <cell r="M176" t="str">
            <v>12.50.81.440.00</v>
          </cell>
          <cell r="O176" t="str">
            <v>A36</v>
          </cell>
          <cell r="P176" t="str">
            <v>S</v>
          </cell>
        </row>
        <row r="177">
          <cell r="A177">
            <v>176</v>
          </cell>
          <cell r="B177" t="str">
            <v>"CANALES UV" PERFIL ESTRUCTURAL</v>
          </cell>
          <cell r="C177" t="str">
            <v>UV 200x200x80x12</v>
          </cell>
          <cell r="D177">
            <v>45.22</v>
          </cell>
          <cell r="E177">
            <v>45.22</v>
          </cell>
          <cell r="F177">
            <v>80</v>
          </cell>
          <cell r="G177">
            <v>200</v>
          </cell>
          <cell r="H177">
            <v>12</v>
          </cell>
          <cell r="K177">
            <v>984</v>
          </cell>
          <cell r="M177" t="str">
            <v>12.50.81.460.00</v>
          </cell>
          <cell r="O177" t="str">
            <v>A36</v>
          </cell>
          <cell r="P177" t="str">
            <v>S</v>
          </cell>
        </row>
        <row r="178">
          <cell r="A178">
            <v>177</v>
          </cell>
          <cell r="B178" t="str">
            <v>"CANALES UV" PERFIL ESTRUCTURAL</v>
          </cell>
          <cell r="C178" t="str">
            <v>UV 200x200x100x12</v>
          </cell>
          <cell r="D178">
            <v>45.83</v>
          </cell>
          <cell r="E178">
            <v>45.83</v>
          </cell>
          <cell r="F178">
            <v>100</v>
          </cell>
          <cell r="G178">
            <v>200</v>
          </cell>
          <cell r="H178">
            <v>12</v>
          </cell>
          <cell r="K178">
            <v>1024</v>
          </cell>
          <cell r="M178" t="str">
            <v>12.50.81.470.00</v>
          </cell>
          <cell r="O178" t="str">
            <v>A36</v>
          </cell>
          <cell r="P178" t="str">
            <v>S</v>
          </cell>
        </row>
        <row r="179">
          <cell r="A179">
            <v>178</v>
          </cell>
          <cell r="B179" t="str">
            <v>"CANALES UV" PERFIL ESTRUCTURAL</v>
          </cell>
          <cell r="C179" t="str">
            <v>UV 240x240x100x12</v>
          </cell>
          <cell r="D179">
            <v>53.37</v>
          </cell>
          <cell r="E179">
            <v>53.37</v>
          </cell>
          <cell r="F179">
            <v>100</v>
          </cell>
          <cell r="G179">
            <v>240</v>
          </cell>
          <cell r="H179">
            <v>12</v>
          </cell>
          <cell r="K179">
            <v>1184</v>
          </cell>
          <cell r="M179" t="str">
            <v>12.50.81.490.00</v>
          </cell>
          <cell r="O179" t="str">
            <v>A36</v>
          </cell>
          <cell r="P179" t="str">
            <v>S</v>
          </cell>
        </row>
        <row r="180">
          <cell r="A180">
            <v>179</v>
          </cell>
          <cell r="B180" t="str">
            <v>"CANALES UV" PERFIL ESTRUCTURAL</v>
          </cell>
          <cell r="C180" t="str">
            <v>UV 260x260x100x12</v>
          </cell>
          <cell r="D180">
            <v>57.15</v>
          </cell>
          <cell r="E180">
            <v>57.15</v>
          </cell>
          <cell r="F180">
            <v>100</v>
          </cell>
          <cell r="G180">
            <v>260</v>
          </cell>
          <cell r="H180">
            <v>12</v>
          </cell>
          <cell r="K180">
            <v>1264</v>
          </cell>
          <cell r="M180" t="str">
            <v>12.50.81.500.00</v>
          </cell>
          <cell r="O180" t="str">
            <v>A36</v>
          </cell>
          <cell r="P180" t="str">
            <v>S</v>
          </cell>
        </row>
        <row r="181">
          <cell r="A181">
            <v>180</v>
          </cell>
          <cell r="B181" t="str">
            <v>"CANALES UV" PERFIL ESTRUCTURAL</v>
          </cell>
          <cell r="C181" t="str">
            <v>UV 280x280x100x12</v>
          </cell>
          <cell r="D181">
            <v>60.92</v>
          </cell>
          <cell r="E181">
            <v>60.92</v>
          </cell>
          <cell r="F181">
            <v>100</v>
          </cell>
          <cell r="G181">
            <v>280</v>
          </cell>
          <cell r="H181">
            <v>12</v>
          </cell>
          <cell r="K181">
            <v>1344</v>
          </cell>
          <cell r="M181" t="str">
            <v>12.50.81.510.00</v>
          </cell>
          <cell r="O181" t="str">
            <v>A36</v>
          </cell>
          <cell r="P181" t="str">
            <v>S</v>
          </cell>
        </row>
        <row r="182">
          <cell r="A182">
            <v>181</v>
          </cell>
          <cell r="B182" t="str">
            <v>TUBO ASTM - A 53, CEDULA 40 CON COSTURA</v>
          </cell>
          <cell r="C182" t="str">
            <v>TUBO SCH40 1/4", e=2,24</v>
          </cell>
          <cell r="D182">
            <v>0.63</v>
          </cell>
          <cell r="E182">
            <v>0.63</v>
          </cell>
          <cell r="F182">
            <v>13.7</v>
          </cell>
          <cell r="H182">
            <v>2.2400000000000002</v>
          </cell>
          <cell r="K182">
            <v>43.039782999999993</v>
          </cell>
          <cell r="L182">
            <v>80.646128639999986</v>
          </cell>
          <cell r="O182" t="str">
            <v>A53</v>
          </cell>
          <cell r="P182" t="str">
            <v>N</v>
          </cell>
        </row>
        <row r="183">
          <cell r="A183">
            <v>182</v>
          </cell>
          <cell r="B183" t="str">
            <v>TUBO ASTM - A 53, CEDULA 40 CON COSTURA</v>
          </cell>
          <cell r="C183" t="str">
            <v>TUBO SCH40 3/8", e=2,31</v>
          </cell>
          <cell r="D183">
            <v>0.84</v>
          </cell>
          <cell r="E183">
            <v>0.84</v>
          </cell>
          <cell r="F183">
            <v>17.100000000000001</v>
          </cell>
          <cell r="H183">
            <v>2.31</v>
          </cell>
          <cell r="K183">
            <v>53.721189000000003</v>
          </cell>
          <cell r="L183">
            <v>107.33244984000001</v>
          </cell>
          <cell r="O183" t="str">
            <v>A53</v>
          </cell>
          <cell r="P183" t="str">
            <v>N</v>
          </cell>
        </row>
        <row r="184">
          <cell r="A184">
            <v>183</v>
          </cell>
          <cell r="B184" t="str">
            <v>TUBO ASTM - A 53, CEDULA 40 CON COSTURA</v>
          </cell>
          <cell r="C184" t="str">
            <v>TUBO SCH40 1/2", e= 2,77</v>
          </cell>
          <cell r="D184">
            <v>1.27</v>
          </cell>
          <cell r="E184">
            <v>1.27</v>
          </cell>
          <cell r="F184">
            <v>21.3</v>
          </cell>
          <cell r="H184">
            <v>2.77</v>
          </cell>
          <cell r="K184">
            <v>66.915867000000006</v>
          </cell>
          <cell r="L184">
            <v>161.25235895999998</v>
          </cell>
          <cell r="O184" t="str">
            <v>A53</v>
          </cell>
          <cell r="P184" t="str">
            <v>N</v>
          </cell>
        </row>
        <row r="185">
          <cell r="A185">
            <v>184</v>
          </cell>
          <cell r="B185" t="str">
            <v>TUBO ASTM - A 53, CEDULA 40 CON COSTURA</v>
          </cell>
          <cell r="C185" t="str">
            <v>TUBO SCH40 3/4", e=2,87</v>
          </cell>
          <cell r="D185">
            <v>1.6900000000000002</v>
          </cell>
          <cell r="E185">
            <v>1.6900000000000002</v>
          </cell>
          <cell r="F185">
            <v>26.7</v>
          </cell>
          <cell r="H185">
            <v>2.87</v>
          </cell>
          <cell r="K185">
            <v>83.880452999999989</v>
          </cell>
          <cell r="L185">
            <v>214.86062135999995</v>
          </cell>
          <cell r="O185" t="str">
            <v>A53</v>
          </cell>
          <cell r="P185" t="str">
            <v>N</v>
          </cell>
        </row>
        <row r="186">
          <cell r="A186">
            <v>185</v>
          </cell>
          <cell r="B186" t="str">
            <v>TUBO ASTM - A 53, CEDULA 40 CON COSTURA</v>
          </cell>
          <cell r="C186" t="str">
            <v>TUBO SCH40 1", e= 3,38</v>
          </cell>
          <cell r="D186">
            <v>2.5</v>
          </cell>
          <cell r="E186">
            <v>2.5</v>
          </cell>
          <cell r="F186">
            <v>33.4</v>
          </cell>
          <cell r="H186">
            <v>3.38</v>
          </cell>
          <cell r="K186">
            <v>104.92910599999999</v>
          </cell>
          <cell r="L186">
            <v>318.77061215999993</v>
          </cell>
          <cell r="O186" t="str">
            <v>A53</v>
          </cell>
          <cell r="P186" t="str">
            <v>S</v>
          </cell>
        </row>
        <row r="187">
          <cell r="A187">
            <v>186</v>
          </cell>
          <cell r="B187" t="str">
            <v>TUBO ASTM - A 53, CEDULA 40 CON COSTURA</v>
          </cell>
          <cell r="C187" t="str">
            <v>TUBO SCH40 1 1/4", e= 3,56</v>
          </cell>
          <cell r="D187">
            <v>3.39</v>
          </cell>
          <cell r="E187">
            <v>3.39</v>
          </cell>
          <cell r="F187">
            <v>42.2</v>
          </cell>
          <cell r="H187">
            <v>3.56</v>
          </cell>
          <cell r="K187">
            <v>132.575098</v>
          </cell>
          <cell r="L187">
            <v>432.15346943999981</v>
          </cell>
          <cell r="O187" t="str">
            <v>A53</v>
          </cell>
          <cell r="P187" t="str">
            <v>S</v>
          </cell>
        </row>
        <row r="188">
          <cell r="A188">
            <v>187</v>
          </cell>
          <cell r="B188" t="str">
            <v>TUBO ASTM - A 53, CEDULA 40 CON COSTURA</v>
          </cell>
          <cell r="C188" t="str">
            <v>TUBO SCH40 1 1/2", e= 3,68</v>
          </cell>
          <cell r="D188">
            <v>4.05</v>
          </cell>
          <cell r="E188">
            <v>4.05</v>
          </cell>
          <cell r="F188">
            <v>48.3</v>
          </cell>
          <cell r="H188">
            <v>3.68</v>
          </cell>
          <cell r="K188">
            <v>151.73879699999998</v>
          </cell>
          <cell r="L188">
            <v>515.85574656000017</v>
          </cell>
          <cell r="O188" t="str">
            <v>A53</v>
          </cell>
          <cell r="P188" t="str">
            <v>S</v>
          </cell>
        </row>
        <row r="189">
          <cell r="A189">
            <v>188</v>
          </cell>
          <cell r="B189" t="str">
            <v>TUBO ASTM - A 53, CEDULA 40 CON COSTURA</v>
          </cell>
          <cell r="C189" t="str">
            <v>TUBO SCH40 2", e= 3,91</v>
          </cell>
          <cell r="D189">
            <v>5.44</v>
          </cell>
          <cell r="E189">
            <v>5.44</v>
          </cell>
          <cell r="F189">
            <v>60.3</v>
          </cell>
          <cell r="H189">
            <v>3.91</v>
          </cell>
          <cell r="K189">
            <v>189.43787699999999</v>
          </cell>
          <cell r="L189">
            <v>692.67536184000016</v>
          </cell>
          <cell r="O189" t="str">
            <v>A53</v>
          </cell>
          <cell r="P189" t="str">
            <v>S</v>
          </cell>
        </row>
        <row r="190">
          <cell r="A190">
            <v>189</v>
          </cell>
          <cell r="B190" t="str">
            <v>TUBO ASTM - A 53, CEDULA 40 CON COSTURA</v>
          </cell>
          <cell r="C190" t="str">
            <v>TUBO SCH40 2 1/2", e= 5,16</v>
          </cell>
          <cell r="D190">
            <v>8.6199999999999992</v>
          </cell>
          <cell r="E190">
            <v>8.6199999999999992</v>
          </cell>
          <cell r="F190">
            <v>73</v>
          </cell>
          <cell r="H190">
            <v>5.16</v>
          </cell>
          <cell r="K190">
            <v>229.33606999999998</v>
          </cell>
          <cell r="L190">
            <v>1099.7309030399999</v>
          </cell>
          <cell r="O190" t="str">
            <v>A53</v>
          </cell>
          <cell r="P190" t="str">
            <v>S</v>
          </cell>
        </row>
        <row r="191">
          <cell r="A191">
            <v>190</v>
          </cell>
          <cell r="B191" t="str">
            <v>TUBO ASTM - A 53, CEDULA 40 CON COSTURA</v>
          </cell>
          <cell r="C191" t="str">
            <v>TUBO SCH40 3", e= 5,49</v>
          </cell>
          <cell r="D191">
            <v>11.29</v>
          </cell>
          <cell r="E191">
            <v>11.29</v>
          </cell>
          <cell r="F191">
            <v>88.9</v>
          </cell>
          <cell r="H191">
            <v>5.49</v>
          </cell>
          <cell r="K191">
            <v>279.287351</v>
          </cell>
          <cell r="L191">
            <v>1438.6042994400002</v>
          </cell>
          <cell r="O191" t="str">
            <v>A53</v>
          </cell>
          <cell r="P191" t="str">
            <v>S</v>
          </cell>
        </row>
        <row r="192">
          <cell r="A192">
            <v>191</v>
          </cell>
          <cell r="B192" t="str">
            <v>TUBO ASTM - A 53, CEDULA 40 CON COSTURA</v>
          </cell>
          <cell r="C192" t="str">
            <v>TUBO SCH40 3 1/2", e= 5,74</v>
          </cell>
          <cell r="D192">
            <v>13.57</v>
          </cell>
          <cell r="E192">
            <v>13.57</v>
          </cell>
          <cell r="F192">
            <v>101.6</v>
          </cell>
          <cell r="H192">
            <v>5.74</v>
          </cell>
          <cell r="K192">
            <v>319.18554399999999</v>
          </cell>
          <cell r="L192">
            <v>1728.6226742400006</v>
          </cell>
          <cell r="O192" t="str">
            <v>A53</v>
          </cell>
          <cell r="P192" t="str">
            <v>S</v>
          </cell>
        </row>
        <row r="193">
          <cell r="A193">
            <v>192</v>
          </cell>
          <cell r="B193" t="str">
            <v>TUBO ASTM - A 53, CEDULA 40 CON COSTURA</v>
          </cell>
          <cell r="C193" t="str">
            <v>TUBO SCH40  4", e= 6,02</v>
          </cell>
          <cell r="D193">
            <v>16.07</v>
          </cell>
          <cell r="E193">
            <v>16.07</v>
          </cell>
          <cell r="F193">
            <v>114.3</v>
          </cell>
          <cell r="H193">
            <v>6.02</v>
          </cell>
          <cell r="K193">
            <v>359.08373699999999</v>
          </cell>
          <cell r="L193">
            <v>2047.8381369600017</v>
          </cell>
          <cell r="O193" t="str">
            <v>A53</v>
          </cell>
          <cell r="P193" t="str">
            <v>S</v>
          </cell>
        </row>
        <row r="194">
          <cell r="A194">
            <v>193</v>
          </cell>
          <cell r="B194" t="str">
            <v>TUBO ASTM - A 53, CEDULA 40 CON COSTURA</v>
          </cell>
          <cell r="C194" t="str">
            <v>TUBO SCH40 5", e= 6,55</v>
          </cell>
          <cell r="D194">
            <v>21.77</v>
          </cell>
          <cell r="E194">
            <v>21.77</v>
          </cell>
          <cell r="F194">
            <v>141.30000000000001</v>
          </cell>
          <cell r="H194">
            <v>6.55</v>
          </cell>
          <cell r="K194">
            <v>443.90666700000003</v>
          </cell>
          <cell r="L194">
            <v>2772.8154299999978</v>
          </cell>
          <cell r="O194" t="str">
            <v>A53</v>
          </cell>
          <cell r="P194" t="str">
            <v>N</v>
          </cell>
        </row>
        <row r="195">
          <cell r="A195">
            <v>194</v>
          </cell>
          <cell r="B195" t="str">
            <v>TUBO ASTM - A 53, CEDULA 40 CON COSTURA</v>
          </cell>
          <cell r="C195" t="str">
            <v>TUBO SCH40 6", e= 7,11</v>
          </cell>
          <cell r="D195">
            <v>28.26</v>
          </cell>
          <cell r="E195">
            <v>28.26</v>
          </cell>
          <cell r="F195">
            <v>168.3</v>
          </cell>
          <cell r="H195">
            <v>7.11</v>
          </cell>
          <cell r="K195">
            <v>528.72959700000001</v>
          </cell>
          <cell r="L195">
            <v>3600.4649234399985</v>
          </cell>
          <cell r="O195" t="str">
            <v>A53</v>
          </cell>
          <cell r="P195" t="str">
            <v>N</v>
          </cell>
        </row>
        <row r="196">
          <cell r="A196">
            <v>195</v>
          </cell>
          <cell r="B196" t="str">
            <v>TUBO ASTM - A 53, CEDULA 40 CON COSTURA</v>
          </cell>
          <cell r="C196" t="str">
            <v>TUBO SCH40 8", e= 8,18</v>
          </cell>
          <cell r="D196">
            <v>42.55</v>
          </cell>
          <cell r="E196">
            <v>42.55</v>
          </cell>
          <cell r="F196">
            <v>219.1</v>
          </cell>
          <cell r="H196">
            <v>8.18</v>
          </cell>
          <cell r="K196">
            <v>688.32236899999998</v>
          </cell>
          <cell r="L196">
            <v>5420.282904959995</v>
          </cell>
          <cell r="O196" t="str">
            <v>A53</v>
          </cell>
          <cell r="P196" t="str">
            <v>N</v>
          </cell>
        </row>
        <row r="197">
          <cell r="A197">
            <v>196</v>
          </cell>
          <cell r="B197" t="str">
            <v>TUBO ASTM - A 53, CEDULA 40 CON COSTURA</v>
          </cell>
          <cell r="C197" t="str">
            <v>TUBO SCH40 10", e= 9,27</v>
          </cell>
          <cell r="D197">
            <v>60.29</v>
          </cell>
          <cell r="E197">
            <v>60.29</v>
          </cell>
          <cell r="F197">
            <v>273</v>
          </cell>
          <cell r="H197">
            <v>9.27</v>
          </cell>
          <cell r="K197">
            <v>857.65406999999993</v>
          </cell>
          <cell r="L197">
            <v>7680.5117373599978</v>
          </cell>
          <cell r="O197" t="str">
            <v>A53</v>
          </cell>
          <cell r="P197" t="str">
            <v>N</v>
          </cell>
        </row>
        <row r="198">
          <cell r="A198">
            <v>197</v>
          </cell>
          <cell r="B198" t="str">
            <v>TUBO ASTM - A 53, CEDULA 40 CON COSTURA</v>
          </cell>
          <cell r="C198" t="str">
            <v>TUBO SCH40 12", e= 10,31</v>
          </cell>
          <cell r="D198">
            <v>79.7</v>
          </cell>
          <cell r="E198">
            <v>79.7</v>
          </cell>
          <cell r="F198">
            <v>323.8</v>
          </cell>
          <cell r="H198">
            <v>10.31</v>
          </cell>
          <cell r="K198">
            <v>1017.246842</v>
          </cell>
          <cell r="L198">
            <v>10153.908497040004</v>
          </cell>
          <cell r="O198" t="str">
            <v>A53</v>
          </cell>
          <cell r="P198" t="str">
            <v>N</v>
          </cell>
        </row>
        <row r="199">
          <cell r="A199">
            <v>198</v>
          </cell>
          <cell r="B199" t="str">
            <v>TUBO ASTM - A 53, CEDULA 80 CON COSTURA</v>
          </cell>
          <cell r="C199" t="str">
            <v>TUBO SCH80 1/4", e= 3,02</v>
          </cell>
          <cell r="D199">
            <v>0.8</v>
          </cell>
          <cell r="E199">
            <v>0.8</v>
          </cell>
          <cell r="F199">
            <v>13.7</v>
          </cell>
          <cell r="H199">
            <v>3.02</v>
          </cell>
          <cell r="K199">
            <v>43.039782999999993</v>
          </cell>
          <cell r="L199">
            <v>101.32790975999997</v>
          </cell>
          <cell r="O199" t="str">
            <v>A53</v>
          </cell>
          <cell r="P199" t="str">
            <v>N</v>
          </cell>
        </row>
        <row r="200">
          <cell r="A200">
            <v>199</v>
          </cell>
          <cell r="B200" t="str">
            <v>TUBO ASTM - A 53, CEDULA 80 CON COSTURA</v>
          </cell>
          <cell r="C200" t="str">
            <v>TUBO SCH80 3/8", e= 3,20</v>
          </cell>
          <cell r="D200">
            <v>1.1000000000000001</v>
          </cell>
          <cell r="E200">
            <v>1.1000000000000001</v>
          </cell>
          <cell r="F200">
            <v>17.100000000000001</v>
          </cell>
          <cell r="H200">
            <v>3.2</v>
          </cell>
          <cell r="K200">
            <v>53.721189000000003</v>
          </cell>
          <cell r="L200">
            <v>139.73836800000001</v>
          </cell>
          <cell r="O200" t="str">
            <v>A53</v>
          </cell>
          <cell r="P200" t="str">
            <v>N</v>
          </cell>
        </row>
        <row r="201">
          <cell r="A201">
            <v>200</v>
          </cell>
          <cell r="B201" t="str">
            <v>TUBO ASTM - A 53, CEDULA 80 CON COSTURA</v>
          </cell>
          <cell r="C201" t="str">
            <v>TUBO SCH80 1/2", e= 3,73</v>
          </cell>
          <cell r="D201">
            <v>1.62</v>
          </cell>
          <cell r="E201">
            <v>1.62</v>
          </cell>
          <cell r="F201">
            <v>21.3</v>
          </cell>
          <cell r="H201">
            <v>3.73</v>
          </cell>
          <cell r="K201">
            <v>66.915867000000006</v>
          </cell>
          <cell r="L201">
            <v>205.88821176000002</v>
          </cell>
          <cell r="O201" t="str">
            <v>A53</v>
          </cell>
          <cell r="P201" t="str">
            <v>N</v>
          </cell>
        </row>
        <row r="202">
          <cell r="A202">
            <v>201</v>
          </cell>
          <cell r="B202" t="str">
            <v>TUBO ASTM - A 53, CEDULA 80 CON COSTURA</v>
          </cell>
          <cell r="C202" t="str">
            <v>TUBO SCH80 3/4", e= 3,91</v>
          </cell>
          <cell r="D202">
            <v>2.19</v>
          </cell>
          <cell r="E202">
            <v>2.19</v>
          </cell>
          <cell r="F202">
            <v>26.7</v>
          </cell>
          <cell r="H202">
            <v>3.91</v>
          </cell>
          <cell r="K202">
            <v>83.880452999999989</v>
          </cell>
          <cell r="L202">
            <v>279.94452024000003</v>
          </cell>
          <cell r="O202" t="str">
            <v>A53</v>
          </cell>
          <cell r="P202" t="str">
            <v>N</v>
          </cell>
        </row>
        <row r="203">
          <cell r="A203">
            <v>202</v>
          </cell>
          <cell r="B203" t="str">
            <v>TUBO ASTM - A 53, CEDULA 80 CON COSTURA</v>
          </cell>
          <cell r="C203" t="str">
            <v>TUBO SCH80 1", e= 4,55</v>
          </cell>
          <cell r="D203">
            <v>3.23</v>
          </cell>
          <cell r="E203">
            <v>3.23</v>
          </cell>
          <cell r="F203">
            <v>33.4</v>
          </cell>
          <cell r="H203">
            <v>4.55</v>
          </cell>
          <cell r="K203">
            <v>104.92910599999999</v>
          </cell>
          <cell r="L203">
            <v>412.38997800000004</v>
          </cell>
          <cell r="O203" t="str">
            <v>A53</v>
          </cell>
          <cell r="P203" t="str">
            <v>N</v>
          </cell>
        </row>
        <row r="204">
          <cell r="A204">
            <v>203</v>
          </cell>
          <cell r="B204" t="str">
            <v>TUBO ASTM - A 53, CEDULA 80 CON COSTURA</v>
          </cell>
          <cell r="C204" t="str">
            <v>TUBO SCH80 1 1/4", e= 4,85</v>
          </cell>
          <cell r="D204">
            <v>4.47</v>
          </cell>
          <cell r="E204">
            <v>4.47</v>
          </cell>
          <cell r="F204">
            <v>42.2</v>
          </cell>
          <cell r="H204">
            <v>4.8499999999999996</v>
          </cell>
          <cell r="K204">
            <v>132.575098</v>
          </cell>
          <cell r="L204">
            <v>569.09298600000011</v>
          </cell>
          <cell r="O204" t="str">
            <v>A53</v>
          </cell>
          <cell r="P204" t="str">
            <v>N</v>
          </cell>
        </row>
        <row r="205">
          <cell r="A205">
            <v>204</v>
          </cell>
          <cell r="B205" t="str">
            <v>TUBO ASTM - A 53, CEDULA 80 CON COSTURA</v>
          </cell>
          <cell r="C205" t="str">
            <v>TUBO SCH80 1 1/2", e= 5,08</v>
          </cell>
          <cell r="D205">
            <v>5.41</v>
          </cell>
          <cell r="E205">
            <v>5.41</v>
          </cell>
          <cell r="F205">
            <v>48.3</v>
          </cell>
          <cell r="H205">
            <v>5.08</v>
          </cell>
          <cell r="K205">
            <v>151.73879699999998</v>
          </cell>
          <cell r="L205">
            <v>689.7621561599999</v>
          </cell>
          <cell r="O205" t="str">
            <v>A53</v>
          </cell>
          <cell r="P205" t="str">
            <v>N</v>
          </cell>
        </row>
        <row r="206">
          <cell r="A206">
            <v>205</v>
          </cell>
          <cell r="B206" t="str">
            <v>TUBO ASTM - A 53, CEDULA 80 CON COSTURA</v>
          </cell>
          <cell r="C206" t="str">
            <v>TUBO SCH80 2", e= 5,54</v>
          </cell>
          <cell r="D206">
            <v>7.48</v>
          </cell>
          <cell r="E206">
            <v>7.48</v>
          </cell>
          <cell r="F206">
            <v>60.3</v>
          </cell>
          <cell r="H206">
            <v>5.54</v>
          </cell>
          <cell r="K206">
            <v>189.43787699999999</v>
          </cell>
          <cell r="L206">
            <v>953.0684486399997</v>
          </cell>
          <cell r="O206" t="str">
            <v>A53</v>
          </cell>
          <cell r="P206" t="str">
            <v>N</v>
          </cell>
        </row>
        <row r="207">
          <cell r="A207">
            <v>206</v>
          </cell>
          <cell r="B207" t="str">
            <v>TUBO ASTM - A 53, CEDULA 80 CON COSTURA</v>
          </cell>
          <cell r="C207" t="str">
            <v>TUBO SCH80 2 1/2", e= 7,01</v>
          </cell>
          <cell r="D207">
            <v>11.41</v>
          </cell>
          <cell r="E207">
            <v>11.41</v>
          </cell>
          <cell r="F207">
            <v>73</v>
          </cell>
          <cell r="H207">
            <v>7.01</v>
          </cell>
          <cell r="K207">
            <v>229.33606999999998</v>
          </cell>
          <cell r="L207">
            <v>1453.2724298399994</v>
          </cell>
          <cell r="O207" t="str">
            <v>A53</v>
          </cell>
          <cell r="P207" t="str">
            <v>N</v>
          </cell>
        </row>
        <row r="208">
          <cell r="A208">
            <v>207</v>
          </cell>
          <cell r="B208" t="str">
            <v>TUBO ASTM - A 53, CEDULA 80 CON COSTURA</v>
          </cell>
          <cell r="C208" t="str">
            <v>TUBO SCH80 3", e= 7,62</v>
          </cell>
          <cell r="D208">
            <v>15.27</v>
          </cell>
          <cell r="E208">
            <v>15.27</v>
          </cell>
          <cell r="F208">
            <v>88.899999999999991</v>
          </cell>
          <cell r="H208">
            <v>7.62</v>
          </cell>
          <cell r="K208">
            <v>279.28735099999994</v>
          </cell>
          <cell r="L208">
            <v>1945.7612697599991</v>
          </cell>
          <cell r="O208" t="str">
            <v>A53</v>
          </cell>
          <cell r="P208" t="str">
            <v>N</v>
          </cell>
        </row>
        <row r="209">
          <cell r="A209">
            <v>208</v>
          </cell>
          <cell r="B209" t="str">
            <v>TUBO ASTM - A 53, CEDULA 80 CON COSTURA</v>
          </cell>
          <cell r="C209" t="str">
            <v>TUBO SCH80 4", e= 8,56</v>
          </cell>
          <cell r="D209">
            <v>22.31</v>
          </cell>
          <cell r="E209">
            <v>22.31</v>
          </cell>
          <cell r="F209">
            <v>114.3</v>
          </cell>
          <cell r="H209">
            <v>8.56</v>
          </cell>
          <cell r="K209">
            <v>359.08373699999999</v>
          </cell>
          <cell r="L209">
            <v>2843.5702310400011</v>
          </cell>
          <cell r="O209" t="str">
            <v>A53</v>
          </cell>
          <cell r="P209" t="str">
            <v>N</v>
          </cell>
        </row>
        <row r="210">
          <cell r="A210">
            <v>209</v>
          </cell>
          <cell r="B210" t="str">
            <v>TUBO ASTM - A 53, CEDULA 80 CON COSTURA</v>
          </cell>
          <cell r="C210" t="str">
            <v>TUBO SCH80 6", e= 10,97</v>
          </cell>
          <cell r="D210">
            <v>42.56</v>
          </cell>
          <cell r="E210">
            <v>42.56</v>
          </cell>
          <cell r="F210">
            <v>168.3</v>
          </cell>
          <cell r="H210">
            <v>10.97</v>
          </cell>
          <cell r="K210">
            <v>528.72959700000001</v>
          </cell>
          <cell r="L210">
            <v>5422.1191701600001</v>
          </cell>
          <cell r="O210" t="str">
            <v>A53</v>
          </cell>
          <cell r="P210" t="str">
            <v>N</v>
          </cell>
        </row>
        <row r="211">
          <cell r="A211">
            <v>210</v>
          </cell>
          <cell r="B211" t="str">
            <v>TUBO ESTRUCTURAL REDONDO</v>
          </cell>
          <cell r="C211" t="str">
            <v>TUBO RD. 5/8" x 1,5</v>
          </cell>
          <cell r="D211">
            <v>0.55000000000000004</v>
          </cell>
          <cell r="E211">
            <v>0.55000000000000004</v>
          </cell>
          <cell r="F211">
            <v>15.875</v>
          </cell>
          <cell r="H211">
            <v>1.5</v>
          </cell>
          <cell r="K211">
            <v>49.872741249999997</v>
          </cell>
          <cell r="L211">
            <v>67.740750000000006</v>
          </cell>
          <cell r="M211" t="str">
            <v>15.15.65.010.00</v>
          </cell>
          <cell r="O211" t="str">
            <v>A36</v>
          </cell>
          <cell r="P211" t="str">
            <v>N</v>
          </cell>
        </row>
        <row r="212">
          <cell r="A212">
            <v>211</v>
          </cell>
          <cell r="B212" t="str">
            <v>TUBO ESTRUCTURAL REDONDO</v>
          </cell>
          <cell r="C212" t="str">
            <v>TUBO RD. 3/4" x 1,5</v>
          </cell>
          <cell r="D212">
            <v>0.65</v>
          </cell>
          <cell r="E212">
            <v>0.65</v>
          </cell>
          <cell r="F212">
            <v>19.05</v>
          </cell>
          <cell r="H212">
            <v>1.5</v>
          </cell>
          <cell r="K212">
            <v>59.847289500000002</v>
          </cell>
          <cell r="L212">
            <v>82.70262000000001</v>
          </cell>
          <cell r="M212" t="str">
            <v>15.15.65.020.00</v>
          </cell>
          <cell r="O212" t="str">
            <v>A36</v>
          </cell>
          <cell r="P212" t="str">
            <v>N</v>
          </cell>
        </row>
        <row r="213">
          <cell r="A213">
            <v>212</v>
          </cell>
          <cell r="B213" t="str">
            <v>TUBO ESTRUCTURAL REDONDO</v>
          </cell>
          <cell r="C213" t="str">
            <v>TUBO RD. 3/4" x 2</v>
          </cell>
          <cell r="D213">
            <v>0.84</v>
          </cell>
          <cell r="E213">
            <v>0.84</v>
          </cell>
          <cell r="F213">
            <v>19.05</v>
          </cell>
          <cell r="H213">
            <v>2</v>
          </cell>
          <cell r="K213">
            <v>59.847289500000002</v>
          </cell>
          <cell r="L213">
            <v>107.12856000000001</v>
          </cell>
          <cell r="M213" t="str">
            <v>15.15.65.030.00</v>
          </cell>
          <cell r="O213" t="str">
            <v>A36</v>
          </cell>
          <cell r="P213" t="str">
            <v>N</v>
          </cell>
        </row>
        <row r="214">
          <cell r="A214">
            <v>213</v>
          </cell>
          <cell r="B214" t="str">
            <v>TUBO ESTRUCTURAL REDONDO</v>
          </cell>
          <cell r="C214" t="str">
            <v>TUBO RD. 7/8" x 1,5</v>
          </cell>
          <cell r="D214">
            <v>0.77</v>
          </cell>
          <cell r="E214">
            <v>0.77</v>
          </cell>
          <cell r="F214">
            <v>22.22</v>
          </cell>
          <cell r="H214">
            <v>1.5</v>
          </cell>
          <cell r="K214">
            <v>69.806129799999994</v>
          </cell>
          <cell r="L214">
            <v>97.640927999999988</v>
          </cell>
          <cell r="O214" t="str">
            <v>A36</v>
          </cell>
          <cell r="P214" t="str">
            <v>N</v>
          </cell>
        </row>
        <row r="215">
          <cell r="A215">
            <v>214</v>
          </cell>
          <cell r="B215" t="str">
            <v>TUBO ESTRUCTURAL REDONDO</v>
          </cell>
          <cell r="C215" t="str">
            <v>TUBO RD. 7/8" x 2</v>
          </cell>
          <cell r="D215">
            <v>1</v>
          </cell>
          <cell r="E215">
            <v>1</v>
          </cell>
          <cell r="F215">
            <v>22.22</v>
          </cell>
          <cell r="H215">
            <v>2</v>
          </cell>
          <cell r="K215">
            <v>69.806129799999994</v>
          </cell>
          <cell r="L215">
            <v>127.04630399999999</v>
          </cell>
          <cell r="O215" t="str">
            <v>A36</v>
          </cell>
          <cell r="P215" t="str">
            <v>N</v>
          </cell>
        </row>
        <row r="216">
          <cell r="A216">
            <v>215</v>
          </cell>
          <cell r="B216" t="str">
            <v>TUBO ESTRUCTURAL REDONDO</v>
          </cell>
          <cell r="C216" t="str">
            <v>TUBO RD. 1" x 1,5</v>
          </cell>
          <cell r="D216">
            <v>0.88</v>
          </cell>
          <cell r="E216">
            <v>0.88</v>
          </cell>
          <cell r="F216">
            <v>25.4</v>
          </cell>
          <cell r="H216">
            <v>1.5</v>
          </cell>
          <cell r="K216">
            <v>79.796385999999998</v>
          </cell>
          <cell r="L216">
            <v>112.62636000000002</v>
          </cell>
          <cell r="M216" t="str">
            <v>15.15.65.060.00</v>
          </cell>
          <cell r="O216" t="str">
            <v>A36</v>
          </cell>
          <cell r="P216" t="str">
            <v>N</v>
          </cell>
        </row>
        <row r="217">
          <cell r="A217">
            <v>216</v>
          </cell>
          <cell r="B217" t="str">
            <v>TUBO ESTRUCTURAL REDONDO</v>
          </cell>
          <cell r="C217" t="str">
            <v>TUBO RD. 1" x 2</v>
          </cell>
          <cell r="D217">
            <v>1.1499999999999999</v>
          </cell>
          <cell r="E217">
            <v>1.1499999999999999</v>
          </cell>
          <cell r="F217">
            <v>25.4</v>
          </cell>
          <cell r="H217">
            <v>2</v>
          </cell>
          <cell r="K217">
            <v>79.796385999999998</v>
          </cell>
          <cell r="L217">
            <v>147.02688000000003</v>
          </cell>
          <cell r="M217" t="str">
            <v>15.15.65.070.00</v>
          </cell>
          <cell r="O217" t="str">
            <v>A36</v>
          </cell>
          <cell r="P217" t="str">
            <v>N</v>
          </cell>
        </row>
        <row r="218">
          <cell r="A218">
            <v>217</v>
          </cell>
          <cell r="B218" t="str">
            <v>TUBO ESTRUCTURAL REDONDO</v>
          </cell>
          <cell r="C218" t="str">
            <v>TUBO RD. 1 1/4" x 1,5</v>
          </cell>
          <cell r="D218">
            <v>1.1199999999999999</v>
          </cell>
          <cell r="E218">
            <v>1.1199999999999999</v>
          </cell>
          <cell r="F218">
            <v>31.75</v>
          </cell>
          <cell r="H218">
            <v>1.5</v>
          </cell>
          <cell r="K218">
            <v>99.745482499999994</v>
          </cell>
          <cell r="L218">
            <v>142.55009999999999</v>
          </cell>
          <cell r="M218" t="str">
            <v>15.15.65.080.00</v>
          </cell>
          <cell r="O218" t="str">
            <v>A36</v>
          </cell>
          <cell r="P218" t="str">
            <v>N</v>
          </cell>
        </row>
        <row r="219">
          <cell r="A219">
            <v>218</v>
          </cell>
          <cell r="B219" t="str">
            <v>TUBO ESTRUCTURAL REDONDO</v>
          </cell>
          <cell r="C219" t="str">
            <v>TUBO RD. 1 1/4" x 2</v>
          </cell>
          <cell r="D219">
            <v>1.47</v>
          </cell>
          <cell r="E219">
            <v>1.47</v>
          </cell>
          <cell r="F219">
            <v>31.75</v>
          </cell>
          <cell r="H219">
            <v>2</v>
          </cell>
          <cell r="K219">
            <v>99.745482499999994</v>
          </cell>
          <cell r="L219">
            <v>186.92519999999999</v>
          </cell>
          <cell r="M219" t="str">
            <v>15.15.65.090.00</v>
          </cell>
          <cell r="O219" t="str">
            <v>A36</v>
          </cell>
          <cell r="P219" t="str">
            <v>N</v>
          </cell>
        </row>
        <row r="220">
          <cell r="A220">
            <v>219</v>
          </cell>
          <cell r="B220" t="str">
            <v>TUBO ESTRUCTURAL REDONDO</v>
          </cell>
          <cell r="C220" t="str">
            <v>TUBO RD. 1 1/2" x 1,5</v>
          </cell>
          <cell r="D220">
            <v>1.3499999999999999</v>
          </cell>
          <cell r="E220">
            <v>1.3499999999999999</v>
          </cell>
          <cell r="F220">
            <v>38.1</v>
          </cell>
          <cell r="H220">
            <v>1.5</v>
          </cell>
          <cell r="K220">
            <v>119.694579</v>
          </cell>
          <cell r="L220">
            <v>172.47384000000011</v>
          </cell>
          <cell r="O220" t="str">
            <v>A36</v>
          </cell>
          <cell r="P220" t="str">
            <v>N</v>
          </cell>
        </row>
        <row r="221">
          <cell r="A221">
            <v>220</v>
          </cell>
          <cell r="B221" t="str">
            <v>TUBO ESTRUCTURAL REDONDO</v>
          </cell>
          <cell r="C221" t="str">
            <v>TUBO RD. 1 1/2" x 2</v>
          </cell>
          <cell r="D221">
            <v>1.78</v>
          </cell>
          <cell r="E221">
            <v>1.78</v>
          </cell>
          <cell r="F221">
            <v>38.1</v>
          </cell>
          <cell r="H221">
            <v>2</v>
          </cell>
          <cell r="K221">
            <v>119.694579</v>
          </cell>
          <cell r="L221">
            <v>226.82351999999997</v>
          </cell>
          <cell r="M221" t="str">
            <v>15.15.65.110.00</v>
          </cell>
          <cell r="O221" t="str">
            <v>A36</v>
          </cell>
          <cell r="P221" t="str">
            <v>N</v>
          </cell>
        </row>
        <row r="222">
          <cell r="A222">
            <v>221</v>
          </cell>
          <cell r="B222" t="str">
            <v>TUBO ESTRUCTURAL REDONDO</v>
          </cell>
          <cell r="C222" t="str">
            <v>TUBO RD. 1 3/4" x 1,5</v>
          </cell>
          <cell r="D222">
            <v>1.5899999999999999</v>
          </cell>
          <cell r="E222">
            <v>1.5899999999999999</v>
          </cell>
          <cell r="F222">
            <v>44.45</v>
          </cell>
          <cell r="H222">
            <v>1.5</v>
          </cell>
          <cell r="K222">
            <v>139.6436755</v>
          </cell>
          <cell r="L222">
            <v>202.39758000000003</v>
          </cell>
          <cell r="O222" t="str">
            <v>A36</v>
          </cell>
          <cell r="P222" t="str">
            <v>N</v>
          </cell>
        </row>
        <row r="223">
          <cell r="A223">
            <v>222</v>
          </cell>
          <cell r="B223" t="str">
            <v>TUBO ESTRUCTURAL REDONDO</v>
          </cell>
          <cell r="C223" t="str">
            <v>TUBO RD. 1 3/4" x 2</v>
          </cell>
          <cell r="D223">
            <v>2.09</v>
          </cell>
          <cell r="E223">
            <v>2.09</v>
          </cell>
          <cell r="F223">
            <v>44.45</v>
          </cell>
          <cell r="H223">
            <v>2</v>
          </cell>
          <cell r="K223">
            <v>139.6436755</v>
          </cell>
          <cell r="L223">
            <v>266.72183999999993</v>
          </cell>
          <cell r="M223" t="str">
            <v>15.15.65.130.0</v>
          </cell>
          <cell r="O223" t="str">
            <v>A36</v>
          </cell>
          <cell r="P223" t="str">
            <v>N</v>
          </cell>
        </row>
        <row r="224">
          <cell r="A224">
            <v>223</v>
          </cell>
          <cell r="B224" t="str">
            <v>TUBO ESTRUCTURAL REDONDO</v>
          </cell>
          <cell r="C224" t="str">
            <v>TUBO RD. 1 7/8" x 1,5</v>
          </cell>
          <cell r="D224">
            <v>1.72</v>
          </cell>
          <cell r="E224">
            <v>1.72</v>
          </cell>
          <cell r="F224">
            <v>47.63</v>
          </cell>
          <cell r="H224">
            <v>1.5</v>
          </cell>
          <cell r="K224">
            <v>149.63393170000001</v>
          </cell>
          <cell r="L224">
            <v>217.38301200000015</v>
          </cell>
          <cell r="O224" t="str">
            <v>A36</v>
          </cell>
          <cell r="P224" t="str">
            <v>N</v>
          </cell>
        </row>
        <row r="225">
          <cell r="A225">
            <v>224</v>
          </cell>
          <cell r="B225" t="str">
            <v>TUBO ESTRUCTURAL REDONDO</v>
          </cell>
          <cell r="C225" t="str">
            <v>TUBO RD. 1 7/8" x 2</v>
          </cell>
          <cell r="D225">
            <v>2.27</v>
          </cell>
          <cell r="E225">
            <v>2.27</v>
          </cell>
          <cell r="F225">
            <v>47.63</v>
          </cell>
          <cell r="H225">
            <v>2</v>
          </cell>
          <cell r="K225">
            <v>149.63393170000001</v>
          </cell>
          <cell r="L225">
            <v>286.70241600000014</v>
          </cell>
          <cell r="O225" t="str">
            <v>A36</v>
          </cell>
          <cell r="P225" t="str">
            <v>N</v>
          </cell>
        </row>
        <row r="226">
          <cell r="A226">
            <v>225</v>
          </cell>
          <cell r="B226" t="str">
            <v>TUBO ESTRUCTURAL REDONDO</v>
          </cell>
          <cell r="C226" t="str">
            <v>TUBO RD. 2" x 1,5</v>
          </cell>
          <cell r="D226">
            <v>1.82</v>
          </cell>
          <cell r="E226">
            <v>1.82</v>
          </cell>
          <cell r="F226">
            <v>50.8</v>
          </cell>
          <cell r="H226">
            <v>1.5</v>
          </cell>
          <cell r="K226">
            <v>159.592772</v>
          </cell>
          <cell r="L226">
            <v>232.32132000000013</v>
          </cell>
          <cell r="O226" t="str">
            <v>A36</v>
          </cell>
          <cell r="P226" t="str">
            <v>N</v>
          </cell>
        </row>
        <row r="227">
          <cell r="A227">
            <v>226</v>
          </cell>
          <cell r="B227" t="str">
            <v>TUBO ESTRUCTURAL REDONDO</v>
          </cell>
          <cell r="C227" t="str">
            <v>TUBO RD. 2" x 2</v>
          </cell>
          <cell r="D227">
            <v>2.41</v>
          </cell>
          <cell r="E227">
            <v>2.41</v>
          </cell>
          <cell r="F227">
            <v>50.8</v>
          </cell>
          <cell r="H227">
            <v>2</v>
          </cell>
          <cell r="K227">
            <v>159.592772</v>
          </cell>
          <cell r="L227">
            <v>306.62016000000006</v>
          </cell>
          <cell r="M227" t="str">
            <v>15.15.65.170.01</v>
          </cell>
          <cell r="O227" t="str">
            <v>A36</v>
          </cell>
          <cell r="P227" t="str">
            <v>N</v>
          </cell>
        </row>
        <row r="228">
          <cell r="A228">
            <v>227</v>
          </cell>
          <cell r="B228" t="str">
            <v>TUBO ESTRUCTURAL REDONDO</v>
          </cell>
          <cell r="C228" t="str">
            <v>TUBO RD. 2" x 3</v>
          </cell>
          <cell r="D228">
            <v>3.5399999999999996</v>
          </cell>
          <cell r="E228">
            <v>3.5399999999999996</v>
          </cell>
          <cell r="F228">
            <v>50.8</v>
          </cell>
          <cell r="H228">
            <v>3</v>
          </cell>
          <cell r="K228">
            <v>159.592772</v>
          </cell>
          <cell r="L228">
            <v>450.50544000000008</v>
          </cell>
          <cell r="M228" t="str">
            <v>15.15.65.180.00</v>
          </cell>
          <cell r="O228" t="str">
            <v>A36</v>
          </cell>
          <cell r="P228" t="str">
            <v>N</v>
          </cell>
        </row>
        <row r="229">
          <cell r="A229">
            <v>228</v>
          </cell>
          <cell r="B229" t="str">
            <v>TUBO ESTRUCTURAL REDONDO</v>
          </cell>
          <cell r="C229" t="str">
            <v>TUBO RD. 2 3/8" x 1,5</v>
          </cell>
          <cell r="D229">
            <v>2.1800000000000002</v>
          </cell>
          <cell r="E229">
            <v>2.1800000000000002</v>
          </cell>
          <cell r="F229">
            <v>60.33</v>
          </cell>
          <cell r="H229">
            <v>1.5</v>
          </cell>
          <cell r="K229">
            <v>189.5321247</v>
          </cell>
          <cell r="L229">
            <v>277.23049200000003</v>
          </cell>
          <cell r="M229" t="str">
            <v>15.15.65.210.00</v>
          </cell>
          <cell r="O229" t="str">
            <v>A36</v>
          </cell>
          <cell r="P229" t="str">
            <v>N</v>
          </cell>
        </row>
        <row r="230">
          <cell r="A230">
            <v>229</v>
          </cell>
          <cell r="B230" t="str">
            <v>TUBO ESTRUCTURAL REDONDO</v>
          </cell>
          <cell r="C230" t="str">
            <v>TUBO RD. 2 3/8" x 2</v>
          </cell>
          <cell r="D230">
            <v>2.8800000000000003</v>
          </cell>
          <cell r="E230">
            <v>2.8800000000000003</v>
          </cell>
          <cell r="F230">
            <v>60.33</v>
          </cell>
          <cell r="H230">
            <v>2</v>
          </cell>
          <cell r="K230">
            <v>189.5321247</v>
          </cell>
          <cell r="L230">
            <v>366.49905599999988</v>
          </cell>
          <cell r="O230" t="str">
            <v>A36</v>
          </cell>
          <cell r="P230" t="str">
            <v>N</v>
          </cell>
        </row>
        <row r="231">
          <cell r="A231">
            <v>230</v>
          </cell>
          <cell r="B231" t="str">
            <v>TUBO ESTRUCTURAL REDONDO</v>
          </cell>
          <cell r="C231" t="str">
            <v>TUBO RD. 2 3/8" x 3</v>
          </cell>
          <cell r="D231">
            <v>4.24</v>
          </cell>
          <cell r="E231">
            <v>4.24</v>
          </cell>
          <cell r="F231">
            <v>60.33</v>
          </cell>
          <cell r="H231">
            <v>3</v>
          </cell>
          <cell r="K231">
            <v>189.5321247</v>
          </cell>
          <cell r="L231">
            <v>540.32378400000005</v>
          </cell>
          <cell r="O231" t="str">
            <v>A36</v>
          </cell>
          <cell r="P231" t="str">
            <v>N</v>
          </cell>
        </row>
        <row r="232">
          <cell r="A232">
            <v>231</v>
          </cell>
          <cell r="B232" t="str">
            <v>TUBO ESTRUCTURAL REDONDO</v>
          </cell>
          <cell r="C232" t="str">
            <v>TUBO RD. 2 1/2" x 1,5</v>
          </cell>
          <cell r="D232">
            <v>2.29</v>
          </cell>
          <cell r="E232">
            <v>2.29</v>
          </cell>
          <cell r="F232">
            <v>63.5</v>
          </cell>
          <cell r="H232">
            <v>1.5</v>
          </cell>
          <cell r="K232">
            <v>199.49096499999999</v>
          </cell>
          <cell r="L232">
            <v>292.16879999999998</v>
          </cell>
          <cell r="O232" t="str">
            <v>A36</v>
          </cell>
          <cell r="P232" t="str">
            <v>N</v>
          </cell>
        </row>
        <row r="233">
          <cell r="A233">
            <v>232</v>
          </cell>
          <cell r="B233" t="str">
            <v>TUBO ESTRUCTURAL REDONDO</v>
          </cell>
          <cell r="C233" t="str">
            <v>TUBO RD. 2 1/2" x 2</v>
          </cell>
          <cell r="D233">
            <v>3.03</v>
          </cell>
          <cell r="E233">
            <v>3.03</v>
          </cell>
          <cell r="F233">
            <v>63.5</v>
          </cell>
          <cell r="H233">
            <v>2</v>
          </cell>
          <cell r="K233">
            <v>199.49096499999999</v>
          </cell>
          <cell r="L233">
            <v>386.41679999999997</v>
          </cell>
          <cell r="O233" t="str">
            <v>A36</v>
          </cell>
          <cell r="P233" t="str">
            <v>N</v>
          </cell>
        </row>
        <row r="234">
          <cell r="A234">
            <v>233</v>
          </cell>
          <cell r="B234" t="str">
            <v>TUBO ESTRUCTURAL REDONDO</v>
          </cell>
          <cell r="C234" t="str">
            <v>TUBO RD. 2 1/2" x 3</v>
          </cell>
          <cell r="D234">
            <v>4.4799999999999995</v>
          </cell>
          <cell r="E234">
            <v>4.4799999999999995</v>
          </cell>
          <cell r="F234">
            <v>63.5</v>
          </cell>
          <cell r="H234">
            <v>3</v>
          </cell>
          <cell r="K234">
            <v>199.49096499999999</v>
          </cell>
          <cell r="L234">
            <v>570.20039999999995</v>
          </cell>
          <cell r="M234" t="str">
            <v>15.15.65.260.00</v>
          </cell>
          <cell r="O234" t="str">
            <v>A36</v>
          </cell>
          <cell r="P234" t="str">
            <v>N</v>
          </cell>
        </row>
        <row r="235">
          <cell r="A235">
            <v>234</v>
          </cell>
          <cell r="B235" t="str">
            <v>TUBO ESTRUCTURAL REDONDO</v>
          </cell>
          <cell r="C235" t="str">
            <v>TUBO RD. 3" x 1,5</v>
          </cell>
          <cell r="D235">
            <v>2.76</v>
          </cell>
          <cell r="E235">
            <v>2.76</v>
          </cell>
          <cell r="F235">
            <v>76.2</v>
          </cell>
          <cell r="H235">
            <v>1.5</v>
          </cell>
          <cell r="K235">
            <v>239.38915800000001</v>
          </cell>
          <cell r="L235">
            <v>352.01627999999982</v>
          </cell>
          <cell r="O235" t="str">
            <v>A36</v>
          </cell>
          <cell r="P235" t="str">
            <v>N</v>
          </cell>
        </row>
        <row r="236">
          <cell r="A236">
            <v>235</v>
          </cell>
          <cell r="B236" t="str">
            <v>TUBO ESTRUCTURAL REDONDO</v>
          </cell>
          <cell r="C236" t="str">
            <v>TUBO RD. 3" x 2</v>
          </cell>
          <cell r="D236">
            <v>3.66</v>
          </cell>
          <cell r="E236">
            <v>3.66</v>
          </cell>
          <cell r="F236">
            <v>76.2</v>
          </cell>
          <cell r="H236">
            <v>2</v>
          </cell>
          <cell r="K236">
            <v>239.38915800000001</v>
          </cell>
          <cell r="L236">
            <v>466.21344000000028</v>
          </cell>
          <cell r="O236" t="str">
            <v>A36</v>
          </cell>
          <cell r="P236" t="str">
            <v>N</v>
          </cell>
        </row>
        <row r="237">
          <cell r="A237">
            <v>236</v>
          </cell>
          <cell r="B237" t="str">
            <v>TUBO ESTRUCTURAL REDONDO</v>
          </cell>
          <cell r="C237" t="str">
            <v>TUBO RD. 3" x 3</v>
          </cell>
          <cell r="D237">
            <v>5.4200000000000008</v>
          </cell>
          <cell r="E237">
            <v>5.4200000000000008</v>
          </cell>
          <cell r="F237">
            <v>76.2</v>
          </cell>
          <cell r="H237">
            <v>3</v>
          </cell>
          <cell r="K237">
            <v>239.38915800000001</v>
          </cell>
          <cell r="L237">
            <v>689.89536000000044</v>
          </cell>
          <cell r="M237" t="str">
            <v>15.15.65.290.0</v>
          </cell>
          <cell r="O237" t="str">
            <v>A36</v>
          </cell>
          <cell r="P237" t="str">
            <v>N</v>
          </cell>
        </row>
        <row r="238">
          <cell r="A238">
            <v>237</v>
          </cell>
          <cell r="B238" t="str">
            <v>TUBO ESTRUCTURAL REDONDO</v>
          </cell>
          <cell r="C238" t="str">
            <v>TUBO RD. 4" x 2</v>
          </cell>
          <cell r="D238">
            <v>4.91</v>
          </cell>
          <cell r="E238">
            <v>4.91</v>
          </cell>
          <cell r="F238">
            <v>101.6</v>
          </cell>
          <cell r="H238">
            <v>2</v>
          </cell>
          <cell r="K238">
            <v>319.18554399999999</v>
          </cell>
          <cell r="L238">
            <v>625.80672000000084</v>
          </cell>
          <cell r="O238" t="str">
            <v>A36</v>
          </cell>
          <cell r="P238" t="str">
            <v>N</v>
          </cell>
        </row>
        <row r="239">
          <cell r="A239">
            <v>238</v>
          </cell>
          <cell r="B239" t="str">
            <v>TUBO ESTRUCTURAL REDONDO</v>
          </cell>
          <cell r="C239" t="str">
            <v>TUBO RD. 4" x 3</v>
          </cell>
          <cell r="D239">
            <v>7.29</v>
          </cell>
          <cell r="E239">
            <v>7.29</v>
          </cell>
          <cell r="F239">
            <v>101.6</v>
          </cell>
          <cell r="H239">
            <v>3</v>
          </cell>
          <cell r="K239">
            <v>319.18554399999999</v>
          </cell>
          <cell r="L239">
            <v>929.28528000000051</v>
          </cell>
          <cell r="O239" t="str">
            <v>A36</v>
          </cell>
          <cell r="P239" t="str">
            <v>N</v>
          </cell>
        </row>
        <row r="240">
          <cell r="A240">
            <v>239</v>
          </cell>
          <cell r="B240" t="str">
            <v>TUBO ESTRUCTURAL REDONDO</v>
          </cell>
          <cell r="C240" t="str">
            <v>TUBO RD. 4" x 4</v>
          </cell>
          <cell r="D240">
            <v>9.6300000000000008</v>
          </cell>
          <cell r="E240">
            <v>9.6300000000000008</v>
          </cell>
          <cell r="F240">
            <v>101.6</v>
          </cell>
          <cell r="H240">
            <v>4</v>
          </cell>
          <cell r="K240">
            <v>319.18554399999999</v>
          </cell>
          <cell r="L240">
            <v>1226.4806400000002</v>
          </cell>
          <cell r="O240" t="str">
            <v>A36</v>
          </cell>
          <cell r="P240" t="str">
            <v>N</v>
          </cell>
        </row>
        <row r="241">
          <cell r="A241">
            <v>240</v>
          </cell>
          <cell r="B241" t="str">
            <v>TUBO ESTRUCTURAL REDONDO</v>
          </cell>
          <cell r="C241" t="str">
            <v>TUBO RD. 5" x 4</v>
          </cell>
          <cell r="D241">
            <v>12.13</v>
          </cell>
          <cell r="E241">
            <v>12.13</v>
          </cell>
          <cell r="F241">
            <v>127</v>
          </cell>
          <cell r="H241">
            <v>4</v>
          </cell>
          <cell r="K241">
            <v>398.98192999999998</v>
          </cell>
          <cell r="L241">
            <v>1545.6671999999999</v>
          </cell>
          <cell r="M241" t="str">
            <v>15.15.65.420.00</v>
          </cell>
          <cell r="O241" t="str">
            <v>A36</v>
          </cell>
          <cell r="P241" t="str">
            <v>N</v>
          </cell>
        </row>
        <row r="242">
          <cell r="A242">
            <v>241</v>
          </cell>
          <cell r="B242" t="str">
            <v>TUBO ESTRUCTURAL REDONDO</v>
          </cell>
          <cell r="C242" t="str">
            <v>TUBO RD. 5" x 5</v>
          </cell>
          <cell r="D242">
            <v>15</v>
          </cell>
          <cell r="E242">
            <v>15</v>
          </cell>
          <cell r="F242">
            <v>127</v>
          </cell>
          <cell r="H242">
            <v>5</v>
          </cell>
          <cell r="K242">
            <v>398.98192999999998</v>
          </cell>
          <cell r="L242">
            <v>1916.376</v>
          </cell>
          <cell r="O242" t="str">
            <v>A36</v>
          </cell>
          <cell r="P242" t="str">
            <v>N</v>
          </cell>
        </row>
        <row r="243">
          <cell r="A243">
            <v>242</v>
          </cell>
          <cell r="B243" t="str">
            <v>TUBO ESTRUCTURAL REDONDO</v>
          </cell>
          <cell r="C243" t="str">
            <v>TUBO RD. 6" x 5</v>
          </cell>
          <cell r="D243">
            <v>18.791666666666668</v>
          </cell>
          <cell r="E243">
            <v>18.791666666666668</v>
          </cell>
          <cell r="F243">
            <v>152.4</v>
          </cell>
          <cell r="H243">
            <v>5</v>
          </cell>
          <cell r="K243">
            <v>478.77831600000002</v>
          </cell>
          <cell r="L243">
            <v>2315.3591999999999</v>
          </cell>
          <cell r="O243" t="str">
            <v>A36</v>
          </cell>
          <cell r="P243" t="str">
            <v>N</v>
          </cell>
        </row>
        <row r="244">
          <cell r="A244">
            <v>243</v>
          </cell>
          <cell r="B244" t="str">
            <v>TUBO ESTRUCTURAL REDONDO</v>
          </cell>
          <cell r="C244" t="str">
            <v>TUBO RD. 6" x 6</v>
          </cell>
          <cell r="D244">
            <v>22.55</v>
          </cell>
          <cell r="E244">
            <v>22.55</v>
          </cell>
          <cell r="F244">
            <v>152.4</v>
          </cell>
          <cell r="H244">
            <v>6</v>
          </cell>
          <cell r="K244">
            <v>478.77831600000002</v>
          </cell>
          <cell r="L244">
            <v>2759.5814400000017</v>
          </cell>
          <cell r="O244" t="str">
            <v>A36</v>
          </cell>
          <cell r="P244" t="str">
            <v>N</v>
          </cell>
        </row>
        <row r="245">
          <cell r="A245">
            <v>244</v>
          </cell>
          <cell r="B245" t="str">
            <v>TUBO ISO-65 LIGHT-1</v>
          </cell>
          <cell r="C245" t="str">
            <v>TUBO ISO I 1/2" x 2,3</v>
          </cell>
          <cell r="D245">
            <v>1.08</v>
          </cell>
          <cell r="E245">
            <v>1.08</v>
          </cell>
          <cell r="F245">
            <v>21.35</v>
          </cell>
          <cell r="H245">
            <v>2.2999999999999998</v>
          </cell>
          <cell r="K245">
            <v>67.0729465</v>
          </cell>
          <cell r="L245">
            <v>137.64920400000003</v>
          </cell>
          <cell r="M245" t="str">
            <v>15.29.60.020.00</v>
          </cell>
          <cell r="O245" t="str">
            <v>A36</v>
          </cell>
          <cell r="P245" t="str">
            <v>N</v>
          </cell>
        </row>
        <row r="246">
          <cell r="A246">
            <v>245</v>
          </cell>
          <cell r="B246" t="str">
            <v>TUBO ISO-65 LIGHT-1</v>
          </cell>
          <cell r="C246" t="str">
            <v>TUBO ISO I 3/4" x 2,3</v>
          </cell>
          <cell r="D246">
            <v>1.4000000000000001</v>
          </cell>
          <cell r="E246">
            <v>1.4000000000000001</v>
          </cell>
          <cell r="F246">
            <v>26.75</v>
          </cell>
          <cell r="H246">
            <v>2.2999999999999998</v>
          </cell>
          <cell r="K246">
            <v>84.037532499999998</v>
          </cell>
          <cell r="L246">
            <v>176.66787600000004</v>
          </cell>
          <cell r="M246" t="str">
            <v>15.29.60.030.00</v>
          </cell>
          <cell r="O246" t="str">
            <v>A36</v>
          </cell>
          <cell r="P246" t="str">
            <v>N</v>
          </cell>
        </row>
        <row r="247">
          <cell r="A247">
            <v>246</v>
          </cell>
          <cell r="B247" t="str">
            <v>TUBO ISO-65 LIGHT-1</v>
          </cell>
          <cell r="C247" t="str">
            <v>TUBO ISO I 1" x 2,9</v>
          </cell>
          <cell r="D247">
            <v>2.1999999999999997</v>
          </cell>
          <cell r="E247">
            <v>2.1999999999999997</v>
          </cell>
          <cell r="F247">
            <v>33.6</v>
          </cell>
          <cell r="H247">
            <v>2.9</v>
          </cell>
          <cell r="K247">
            <v>105.557424</v>
          </cell>
          <cell r="L247">
            <v>279.69664799999998</v>
          </cell>
          <cell r="M247" t="str">
            <v>15.29.60.040.01</v>
          </cell>
          <cell r="O247" t="str">
            <v>A36</v>
          </cell>
          <cell r="P247" t="str">
            <v>N</v>
          </cell>
        </row>
        <row r="248">
          <cell r="A248">
            <v>247</v>
          </cell>
          <cell r="B248" t="str">
            <v>TUBO ISO-65 LIGHT-1</v>
          </cell>
          <cell r="C248" t="str">
            <v>TUBO ISO I 1 1/4" x 2,9</v>
          </cell>
          <cell r="D248">
            <v>2.8200000000000003</v>
          </cell>
          <cell r="E248">
            <v>2.8200000000000003</v>
          </cell>
          <cell r="F248">
            <v>42.3</v>
          </cell>
          <cell r="H248">
            <v>2.9</v>
          </cell>
          <cell r="K248">
            <v>132.88925699999999</v>
          </cell>
          <cell r="L248">
            <v>358.9592159999998</v>
          </cell>
          <cell r="M248" t="str">
            <v>15.29.60.050.00</v>
          </cell>
          <cell r="O248" t="str">
            <v>A36</v>
          </cell>
          <cell r="P248" t="str">
            <v>N</v>
          </cell>
        </row>
        <row r="249">
          <cell r="A249">
            <v>248</v>
          </cell>
          <cell r="B249" t="str">
            <v>TUBO ISO-65 LIGHT-1</v>
          </cell>
          <cell r="C249" t="str">
            <v>TUBO ISO I 1 1/2" x 2,9</v>
          </cell>
          <cell r="D249">
            <v>3.25</v>
          </cell>
          <cell r="E249">
            <v>3.25</v>
          </cell>
          <cell r="F249">
            <v>48.2</v>
          </cell>
          <cell r="H249">
            <v>2.9</v>
          </cell>
          <cell r="K249">
            <v>151.42463800000002</v>
          </cell>
          <cell r="L249">
            <v>412.71199199999984</v>
          </cell>
          <cell r="M249" t="str">
            <v>15.29.60.060.00</v>
          </cell>
          <cell r="O249" t="str">
            <v>A36</v>
          </cell>
          <cell r="P249" t="str">
            <v>N</v>
          </cell>
        </row>
        <row r="250">
          <cell r="A250">
            <v>249</v>
          </cell>
          <cell r="B250" t="str">
            <v>TUBO ISO-65 LIGHT-1</v>
          </cell>
          <cell r="C250" t="str">
            <v>TUBO ISO I 2" x 3,2</v>
          </cell>
          <cell r="D250">
            <v>4.51</v>
          </cell>
          <cell r="E250">
            <v>4.51</v>
          </cell>
          <cell r="F250">
            <v>60.15</v>
          </cell>
          <cell r="H250">
            <v>3.2</v>
          </cell>
          <cell r="K250">
            <v>188.96663849999999</v>
          </cell>
          <cell r="L250">
            <v>572.52518399999997</v>
          </cell>
          <cell r="M250" t="str">
            <v>15.29.60.070.01</v>
          </cell>
          <cell r="O250" t="str">
            <v>A36</v>
          </cell>
          <cell r="P250" t="str">
            <v>N</v>
          </cell>
        </row>
        <row r="251">
          <cell r="A251">
            <v>250</v>
          </cell>
          <cell r="B251" t="str">
            <v>TUBO ISO-65 LIGHT-1</v>
          </cell>
          <cell r="C251" t="str">
            <v>TUBO ISO I 2 1/2" x 3,2</v>
          </cell>
          <cell r="D251">
            <v>5.51</v>
          </cell>
          <cell r="E251">
            <v>5.51</v>
          </cell>
          <cell r="F251">
            <v>75.75</v>
          </cell>
          <cell r="H251">
            <v>3.2</v>
          </cell>
          <cell r="K251">
            <v>237.97544249999999</v>
          </cell>
          <cell r="L251">
            <v>729.35385600000097</v>
          </cell>
          <cell r="M251" t="str">
            <v>15.29.60.080.00</v>
          </cell>
          <cell r="O251" t="str">
            <v>A36</v>
          </cell>
          <cell r="P251" t="str">
            <v>N</v>
          </cell>
        </row>
        <row r="252">
          <cell r="A252">
            <v>251</v>
          </cell>
          <cell r="B252" t="str">
            <v>TUBO ISO-65 LIGHT-1</v>
          </cell>
          <cell r="C252" t="str">
            <v>TUBO ISO I 3" x 3,6</v>
          </cell>
          <cell r="D252">
            <v>7.57</v>
          </cell>
          <cell r="E252">
            <v>7.57</v>
          </cell>
          <cell r="F252">
            <v>88.7</v>
          </cell>
          <cell r="H252">
            <v>3.6</v>
          </cell>
          <cell r="K252">
            <v>278.65903300000002</v>
          </cell>
          <cell r="L252">
            <v>962.4605760000004</v>
          </cell>
          <cell r="M252" t="str">
            <v>15.29.60.090.00</v>
          </cell>
          <cell r="O252" t="str">
            <v>A36</v>
          </cell>
          <cell r="P252" t="str">
            <v>N</v>
          </cell>
        </row>
        <row r="253">
          <cell r="A253">
            <v>252</v>
          </cell>
          <cell r="B253" t="str">
            <v>TUBO ISO-65 LIGHT-1</v>
          </cell>
          <cell r="C253" t="str">
            <v>TUBO ISO I 4" x 4</v>
          </cell>
          <cell r="D253">
            <v>10.88</v>
          </cell>
          <cell r="E253">
            <v>10.88</v>
          </cell>
          <cell r="F253">
            <v>113.3</v>
          </cell>
          <cell r="H253">
            <v>4</v>
          </cell>
          <cell r="K253">
            <v>355.94214699999998</v>
          </cell>
          <cell r="L253">
            <v>1373.5075199999994</v>
          </cell>
          <cell r="M253" t="str">
            <v>15.29.60.100.00</v>
          </cell>
          <cell r="O253" t="str">
            <v>A36</v>
          </cell>
          <cell r="P253" t="str">
            <v>N</v>
          </cell>
        </row>
        <row r="254">
          <cell r="A254">
            <v>253</v>
          </cell>
          <cell r="B254" t="str">
            <v>TUBO ISO-65 LIGHT-2</v>
          </cell>
          <cell r="C254" t="str">
            <v>TUBO ISO II 3/8" x 1,8</v>
          </cell>
          <cell r="D254">
            <v>0.66999999999999993</v>
          </cell>
          <cell r="E254">
            <v>0.66999999999999993</v>
          </cell>
          <cell r="F254">
            <v>16.899999999999999</v>
          </cell>
          <cell r="H254">
            <v>1.8</v>
          </cell>
          <cell r="K254">
            <v>53.092870999999995</v>
          </cell>
          <cell r="L254">
            <v>85.388688000000002</v>
          </cell>
          <cell r="O254" t="str">
            <v>A36</v>
          </cell>
          <cell r="P254" t="str">
            <v>N</v>
          </cell>
        </row>
        <row r="255">
          <cell r="A255">
            <v>254</v>
          </cell>
          <cell r="B255" t="str">
            <v>TUBO ISO-65 LIGHT-2</v>
          </cell>
          <cell r="C255" t="str">
            <v>TUBO ISO II 1/2" x 2</v>
          </cell>
          <cell r="D255">
            <v>0.95</v>
          </cell>
          <cell r="E255">
            <v>0.95</v>
          </cell>
          <cell r="F255">
            <v>21.2</v>
          </cell>
          <cell r="H255">
            <v>2</v>
          </cell>
          <cell r="K255">
            <v>66.601708000000002</v>
          </cell>
          <cell r="L255">
            <v>120.63744000000001</v>
          </cell>
          <cell r="M255" t="str">
            <v>15.29.65.020.01</v>
          </cell>
          <cell r="O255" t="str">
            <v>A36</v>
          </cell>
          <cell r="P255" t="str">
            <v>S</v>
          </cell>
        </row>
        <row r="256">
          <cell r="A256">
            <v>255</v>
          </cell>
          <cell r="B256" t="str">
            <v>TUBO ISO-65 LIGHT-2</v>
          </cell>
          <cell r="C256" t="str">
            <v>TUBO ISO II 3/4" x 2,3</v>
          </cell>
          <cell r="D256">
            <v>1.4</v>
          </cell>
          <cell r="E256">
            <v>1.4</v>
          </cell>
          <cell r="F256">
            <v>26.7</v>
          </cell>
          <cell r="H256">
            <v>2.2999999999999998</v>
          </cell>
          <cell r="K256">
            <v>83.880452999999989</v>
          </cell>
          <cell r="L256">
            <v>176.30659199999991</v>
          </cell>
          <cell r="M256" t="str">
            <v>15.29.65.030.00</v>
          </cell>
          <cell r="O256" t="str">
            <v>A36</v>
          </cell>
          <cell r="P256" t="str">
            <v>S</v>
          </cell>
        </row>
        <row r="257">
          <cell r="A257">
            <v>256</v>
          </cell>
          <cell r="B257" t="str">
            <v>TUBO ISO-65 LIGHT-2</v>
          </cell>
          <cell r="C257" t="str">
            <v>TUBO ISO II 1" x 2,6</v>
          </cell>
          <cell r="D257">
            <v>1.9800000000000002</v>
          </cell>
          <cell r="E257">
            <v>1.9800000000000002</v>
          </cell>
          <cell r="F257">
            <v>33.700000000000003</v>
          </cell>
          <cell r="H257">
            <v>2.6</v>
          </cell>
          <cell r="K257">
            <v>105.871583</v>
          </cell>
          <cell r="L257">
            <v>254.02977600000003</v>
          </cell>
          <cell r="M257" t="str">
            <v>15.29.65.040.01</v>
          </cell>
          <cell r="O257" t="str">
            <v>A36</v>
          </cell>
          <cell r="P257" t="str">
            <v>S</v>
          </cell>
        </row>
        <row r="258">
          <cell r="A258">
            <v>257</v>
          </cell>
          <cell r="B258" t="str">
            <v>TUBO ISO-65 LIGHT-2</v>
          </cell>
          <cell r="C258" t="str">
            <v>TUBO ISO II 1 1/4" x 2,6</v>
          </cell>
          <cell r="D258">
            <v>2.54</v>
          </cell>
          <cell r="E258">
            <v>2.54</v>
          </cell>
          <cell r="F258">
            <v>42.2</v>
          </cell>
          <cell r="H258">
            <v>2.6</v>
          </cell>
          <cell r="K258">
            <v>132.575098</v>
          </cell>
          <cell r="L258">
            <v>323.45913600000011</v>
          </cell>
          <cell r="M258" t="str">
            <v>15.29.65.050.00</v>
          </cell>
          <cell r="O258" t="str">
            <v>A36</v>
          </cell>
          <cell r="P258" t="str">
            <v>S</v>
          </cell>
        </row>
        <row r="259">
          <cell r="A259">
            <v>258</v>
          </cell>
          <cell r="B259" t="str">
            <v>TUBO ISO-65 LIGHT-2</v>
          </cell>
          <cell r="C259" t="str">
            <v>TUBO ISO II 1 1/2" x 2,9</v>
          </cell>
          <cell r="D259">
            <v>3.23</v>
          </cell>
          <cell r="E259">
            <v>3.23</v>
          </cell>
          <cell r="F259">
            <v>48.3</v>
          </cell>
          <cell r="H259">
            <v>2.9</v>
          </cell>
          <cell r="K259">
            <v>151.73879699999998</v>
          </cell>
          <cell r="L259">
            <v>413.62305599999991</v>
          </cell>
          <cell r="M259" t="str">
            <v>15.29.65.060.00</v>
          </cell>
          <cell r="O259" t="str">
            <v>A36</v>
          </cell>
          <cell r="P259" t="str">
            <v>S</v>
          </cell>
        </row>
        <row r="260">
          <cell r="A260">
            <v>259</v>
          </cell>
          <cell r="B260" t="str">
            <v>TUBO ISO-65 LIGHT-2</v>
          </cell>
          <cell r="C260" t="str">
            <v>TUBO ISO II 2" x2,9</v>
          </cell>
          <cell r="D260">
            <v>4.08</v>
          </cell>
          <cell r="E260">
            <v>4.08</v>
          </cell>
          <cell r="F260">
            <v>60.3</v>
          </cell>
          <cell r="H260">
            <v>2.9</v>
          </cell>
          <cell r="K260">
            <v>189.43787699999999</v>
          </cell>
          <cell r="L260">
            <v>522.95073599999978</v>
          </cell>
          <cell r="M260" t="str">
            <v>15.29.65.070.01</v>
          </cell>
          <cell r="O260" t="str">
            <v>A36</v>
          </cell>
          <cell r="P260" t="str">
            <v>S</v>
          </cell>
        </row>
        <row r="261">
          <cell r="A261">
            <v>260</v>
          </cell>
          <cell r="B261" t="str">
            <v>TUBO ISO-65 LIGHT-2</v>
          </cell>
          <cell r="C261" t="str">
            <v>TUBO ISO II 2 1/2" x 3,20</v>
          </cell>
          <cell r="D261">
            <v>5.71</v>
          </cell>
          <cell r="E261">
            <v>5.71</v>
          </cell>
          <cell r="F261">
            <v>76.099999999999994</v>
          </cell>
          <cell r="H261">
            <v>3.2</v>
          </cell>
          <cell r="K261">
            <v>239.07499899999996</v>
          </cell>
          <cell r="L261">
            <v>732.87244800000065</v>
          </cell>
          <cell r="M261" t="str">
            <v>15.29.65.080.00</v>
          </cell>
          <cell r="O261" t="str">
            <v>A36</v>
          </cell>
          <cell r="P261" t="str">
            <v>N</v>
          </cell>
        </row>
        <row r="262">
          <cell r="A262">
            <v>261</v>
          </cell>
          <cell r="B262" t="str">
            <v>TUBO ISO-65 LIGHT-2</v>
          </cell>
          <cell r="C262" t="str">
            <v>TUBO ISO II 3" x 3,20</v>
          </cell>
          <cell r="D262">
            <v>6.76</v>
          </cell>
          <cell r="E262">
            <v>6.76</v>
          </cell>
          <cell r="F262">
            <v>88.7</v>
          </cell>
          <cell r="H262">
            <v>3.2</v>
          </cell>
          <cell r="K262">
            <v>278.65903300000002</v>
          </cell>
          <cell r="L262">
            <v>859.54176000000041</v>
          </cell>
          <cell r="M262" t="str">
            <v>15.29.65.090.00</v>
          </cell>
          <cell r="O262" t="str">
            <v>A36</v>
          </cell>
          <cell r="P262" t="str">
            <v>N</v>
          </cell>
        </row>
        <row r="263">
          <cell r="A263">
            <v>262</v>
          </cell>
          <cell r="B263" t="str">
            <v>TUBO ISO-65 LIGHT-2</v>
          </cell>
          <cell r="C263" t="str">
            <v>TUBO ISO II 4" x 3,60</v>
          </cell>
          <cell r="D263">
            <v>9.83</v>
          </cell>
          <cell r="E263">
            <v>9.83</v>
          </cell>
          <cell r="F263">
            <v>113.3</v>
          </cell>
          <cell r="H263">
            <v>3.6</v>
          </cell>
          <cell r="K263">
            <v>355.94214699999998</v>
          </cell>
          <cell r="L263">
            <v>1240.6806720000002</v>
          </cell>
          <cell r="M263" t="str">
            <v>15.29.65.100.00</v>
          </cell>
          <cell r="O263" t="str">
            <v>A36</v>
          </cell>
          <cell r="P263" t="str">
            <v>N</v>
          </cell>
        </row>
        <row r="264">
          <cell r="A264">
            <v>263</v>
          </cell>
          <cell r="B264" t="str">
            <v>TUBO ESTRUCTURAL CUADRADO</v>
          </cell>
          <cell r="C264" t="str">
            <v>TUBO CD. 20x20x1.2</v>
          </cell>
          <cell r="D264">
            <v>0.72</v>
          </cell>
          <cell r="E264">
            <v>0.72</v>
          </cell>
          <cell r="F264">
            <v>20</v>
          </cell>
          <cell r="G264">
            <v>20</v>
          </cell>
          <cell r="H264">
            <v>1.2</v>
          </cell>
          <cell r="K264">
            <v>80</v>
          </cell>
          <cell r="L264">
            <v>90</v>
          </cell>
          <cell r="O264" t="str">
            <v>A36</v>
          </cell>
          <cell r="P264" t="str">
            <v>N</v>
          </cell>
        </row>
        <row r="265">
          <cell r="A265">
            <v>264</v>
          </cell>
          <cell r="B265" t="str">
            <v>TUBO ESTRUCTURAL CUADRADO</v>
          </cell>
          <cell r="C265" t="str">
            <v>TUBO CD. 20x20x1.5</v>
          </cell>
          <cell r="D265">
            <v>0.88</v>
          </cell>
          <cell r="E265">
            <v>0.88</v>
          </cell>
          <cell r="F265">
            <v>20</v>
          </cell>
          <cell r="G265">
            <v>20</v>
          </cell>
          <cell r="H265">
            <v>1.5</v>
          </cell>
          <cell r="K265">
            <v>80</v>
          </cell>
          <cell r="L265">
            <v>105</v>
          </cell>
          <cell r="O265" t="str">
            <v>A36</v>
          </cell>
          <cell r="P265" t="str">
            <v>N</v>
          </cell>
        </row>
        <row r="266">
          <cell r="A266">
            <v>265</v>
          </cell>
          <cell r="B266" t="str">
            <v>TUBO ESTRUCTURAL CUADRADO</v>
          </cell>
          <cell r="C266" t="str">
            <v>TUBO CD. 20x20x2</v>
          </cell>
          <cell r="D266">
            <v>1.1499999999999999</v>
          </cell>
          <cell r="E266">
            <v>1.1499999999999999</v>
          </cell>
          <cell r="F266">
            <v>20</v>
          </cell>
          <cell r="G266">
            <v>20</v>
          </cell>
          <cell r="H266">
            <v>2</v>
          </cell>
          <cell r="K266">
            <v>80</v>
          </cell>
          <cell r="L266">
            <v>134</v>
          </cell>
          <cell r="O266" t="str">
            <v>A36</v>
          </cell>
          <cell r="P266" t="str">
            <v>N</v>
          </cell>
        </row>
        <row r="267">
          <cell r="A267">
            <v>266</v>
          </cell>
          <cell r="B267" t="str">
            <v>TUBO ESTRUCTURAL CUADRADO</v>
          </cell>
          <cell r="C267" t="str">
            <v>TUBO CD. 25x25x1.2</v>
          </cell>
          <cell r="D267">
            <v>0.9</v>
          </cell>
          <cell r="E267">
            <v>0.9</v>
          </cell>
          <cell r="F267">
            <v>25</v>
          </cell>
          <cell r="G267">
            <v>25</v>
          </cell>
          <cell r="H267">
            <v>1.2</v>
          </cell>
          <cell r="K267">
            <v>100</v>
          </cell>
          <cell r="L267">
            <v>113.99999999999999</v>
          </cell>
          <cell r="O267" t="str">
            <v>A36</v>
          </cell>
          <cell r="P267" t="str">
            <v>N</v>
          </cell>
        </row>
        <row r="268">
          <cell r="A268">
            <v>267</v>
          </cell>
          <cell r="B268" t="str">
            <v>TUBO ESTRUCTURAL CUADRADO</v>
          </cell>
          <cell r="C268" t="str">
            <v>TUBO CD. 25x25x1.5</v>
          </cell>
          <cell r="D268">
            <v>1.1200000000000001</v>
          </cell>
          <cell r="E268">
            <v>1.1200000000000001</v>
          </cell>
          <cell r="F268">
            <v>25</v>
          </cell>
          <cell r="G268">
            <v>25</v>
          </cell>
          <cell r="H268">
            <v>1.5</v>
          </cell>
          <cell r="K268">
            <v>100</v>
          </cell>
          <cell r="L268">
            <v>135</v>
          </cell>
          <cell r="O268" t="str">
            <v>A36</v>
          </cell>
          <cell r="P268" t="str">
            <v>N</v>
          </cell>
        </row>
        <row r="269">
          <cell r="A269">
            <v>268</v>
          </cell>
          <cell r="B269" t="str">
            <v>TUBO ESTRUCTURAL CUADRADO</v>
          </cell>
          <cell r="C269" t="str">
            <v>TUBO CD. 25x25x2</v>
          </cell>
          <cell r="D269">
            <v>1.47</v>
          </cell>
          <cell r="E269">
            <v>1.47</v>
          </cell>
          <cell r="F269">
            <v>25</v>
          </cell>
          <cell r="G269">
            <v>25</v>
          </cell>
          <cell r="H269">
            <v>2</v>
          </cell>
          <cell r="K269">
            <v>100</v>
          </cell>
          <cell r="L269">
            <v>174</v>
          </cell>
          <cell r="M269" t="str">
            <v>12.68.15.017.0</v>
          </cell>
          <cell r="O269" t="str">
            <v>A36</v>
          </cell>
          <cell r="P269" t="str">
            <v>N</v>
          </cell>
        </row>
        <row r="270">
          <cell r="A270">
            <v>269</v>
          </cell>
          <cell r="B270" t="str">
            <v>TUBO ESTRUCTURAL CUADRADO</v>
          </cell>
          <cell r="C270" t="str">
            <v>TUBO CD. 30x30x1,2</v>
          </cell>
          <cell r="D270">
            <v>1.0900000000000001</v>
          </cell>
          <cell r="E270">
            <v>1.0900000000000001</v>
          </cell>
          <cell r="F270">
            <v>30</v>
          </cell>
          <cell r="G270">
            <v>30</v>
          </cell>
          <cell r="H270">
            <v>1.2</v>
          </cell>
          <cell r="K270">
            <v>120</v>
          </cell>
          <cell r="L270">
            <v>138</v>
          </cell>
          <cell r="O270" t="str">
            <v>A36</v>
          </cell>
          <cell r="P270" t="str">
            <v>N</v>
          </cell>
        </row>
        <row r="271">
          <cell r="A271">
            <v>270</v>
          </cell>
          <cell r="B271" t="str">
            <v>TUBO ESTRUCTURAL CUADRADO</v>
          </cell>
          <cell r="C271" t="str">
            <v>TUBO CD. 30x30x1,5</v>
          </cell>
          <cell r="D271">
            <v>1.35</v>
          </cell>
          <cell r="E271">
            <v>1.35</v>
          </cell>
          <cell r="F271">
            <v>30</v>
          </cell>
          <cell r="G271">
            <v>30</v>
          </cell>
          <cell r="H271">
            <v>1.5</v>
          </cell>
          <cell r="K271">
            <v>120</v>
          </cell>
          <cell r="L271">
            <v>165</v>
          </cell>
          <cell r="M271" t="str">
            <v>12.68.15.085.0</v>
          </cell>
          <cell r="O271" t="str">
            <v>A36</v>
          </cell>
          <cell r="P271" t="str">
            <v>N</v>
          </cell>
        </row>
        <row r="272">
          <cell r="A272">
            <v>271</v>
          </cell>
          <cell r="B272" t="str">
            <v>TUBO ESTRUCTURAL CUADRADO</v>
          </cell>
          <cell r="C272" t="str">
            <v>TUBO CD. 30x30x2</v>
          </cell>
          <cell r="D272">
            <v>1.78</v>
          </cell>
          <cell r="E272">
            <v>1.78</v>
          </cell>
          <cell r="F272">
            <v>30</v>
          </cell>
          <cell r="G272">
            <v>30</v>
          </cell>
          <cell r="H272">
            <v>2</v>
          </cell>
          <cell r="K272">
            <v>120</v>
          </cell>
          <cell r="L272">
            <v>214</v>
          </cell>
          <cell r="M272" t="str">
            <v>12.68.15.090.00</v>
          </cell>
          <cell r="O272" t="str">
            <v>A36</v>
          </cell>
          <cell r="P272" t="str">
            <v>N</v>
          </cell>
        </row>
        <row r="273">
          <cell r="A273">
            <v>272</v>
          </cell>
          <cell r="B273" t="str">
            <v>TUBO ESTRUCTURAL CUADRADO</v>
          </cell>
          <cell r="C273" t="str">
            <v>TUBO CD. 40x40x1,2</v>
          </cell>
          <cell r="D273">
            <v>1.47</v>
          </cell>
          <cell r="E273">
            <v>1.47</v>
          </cell>
          <cell r="F273">
            <v>40</v>
          </cell>
          <cell r="G273">
            <v>40</v>
          </cell>
          <cell r="H273">
            <v>1.2</v>
          </cell>
          <cell r="K273">
            <v>160</v>
          </cell>
          <cell r="L273">
            <v>180</v>
          </cell>
          <cell r="O273" t="str">
            <v>A36</v>
          </cell>
          <cell r="P273" t="str">
            <v>N</v>
          </cell>
        </row>
        <row r="274">
          <cell r="A274">
            <v>273</v>
          </cell>
          <cell r="B274" t="str">
            <v>TUBO ESTRUCTURAL CUADRADO</v>
          </cell>
          <cell r="C274" t="str">
            <v>TUBO CD. 40x40x1,5</v>
          </cell>
          <cell r="D274">
            <v>1.82</v>
          </cell>
          <cell r="E274">
            <v>1.82</v>
          </cell>
          <cell r="F274">
            <v>40</v>
          </cell>
          <cell r="G274">
            <v>40</v>
          </cell>
          <cell r="H274">
            <v>1.5</v>
          </cell>
          <cell r="K274">
            <v>160</v>
          </cell>
          <cell r="L274">
            <v>225</v>
          </cell>
          <cell r="M274" t="str">
            <v>12.68.15.059.0</v>
          </cell>
          <cell r="O274" t="str">
            <v>A36</v>
          </cell>
          <cell r="P274" t="str">
            <v>N</v>
          </cell>
        </row>
        <row r="275">
          <cell r="A275">
            <v>274</v>
          </cell>
          <cell r="B275" t="str">
            <v>TUBO ESTRUCTURAL CUADRADO</v>
          </cell>
          <cell r="C275" t="str">
            <v>TUBO CD. 40x40x2</v>
          </cell>
          <cell r="D275">
            <v>2.41</v>
          </cell>
          <cell r="E275">
            <v>2.41</v>
          </cell>
          <cell r="F275">
            <v>40</v>
          </cell>
          <cell r="G275">
            <v>40</v>
          </cell>
          <cell r="H275">
            <v>2</v>
          </cell>
          <cell r="K275">
            <v>160</v>
          </cell>
          <cell r="L275">
            <v>294</v>
          </cell>
          <cell r="M275" t="str">
            <v>12.68.15.175.00</v>
          </cell>
          <cell r="O275" t="str">
            <v>A36</v>
          </cell>
          <cell r="P275" t="str">
            <v>N</v>
          </cell>
        </row>
        <row r="276">
          <cell r="A276">
            <v>275</v>
          </cell>
          <cell r="B276" t="str">
            <v>TUBO ESTRUCTURAL CUADRADO</v>
          </cell>
          <cell r="C276" t="str">
            <v>TUBO CD. 40x40x3</v>
          </cell>
          <cell r="D276">
            <v>3.54</v>
          </cell>
          <cell r="E276">
            <v>3.54</v>
          </cell>
          <cell r="F276">
            <v>40</v>
          </cell>
          <cell r="G276">
            <v>40</v>
          </cell>
          <cell r="H276">
            <v>3</v>
          </cell>
          <cell r="K276">
            <v>160</v>
          </cell>
          <cell r="L276">
            <v>444.00000000000006</v>
          </cell>
          <cell r="M276" t="str">
            <v>12.68.15.180.00</v>
          </cell>
          <cell r="O276" t="str">
            <v>A36</v>
          </cell>
          <cell r="P276" t="str">
            <v>S</v>
          </cell>
        </row>
        <row r="277">
          <cell r="A277">
            <v>276</v>
          </cell>
          <cell r="B277" t="str">
            <v>TUBO ESTRUCTURAL CUADRADO</v>
          </cell>
          <cell r="C277" t="str">
            <v>TUBO CD. 50x50x1,5</v>
          </cell>
          <cell r="D277">
            <v>2.29</v>
          </cell>
          <cell r="E277">
            <v>2.29</v>
          </cell>
          <cell r="F277">
            <v>50</v>
          </cell>
          <cell r="G277">
            <v>50</v>
          </cell>
          <cell r="H277">
            <v>1.5</v>
          </cell>
          <cell r="K277">
            <v>200</v>
          </cell>
          <cell r="L277">
            <v>285</v>
          </cell>
          <cell r="O277" t="str">
            <v>A36</v>
          </cell>
          <cell r="P277" t="str">
            <v>N</v>
          </cell>
        </row>
        <row r="278">
          <cell r="A278">
            <v>277</v>
          </cell>
          <cell r="B278" t="str">
            <v>TUBO ESTRUCTURAL CUADRADO</v>
          </cell>
          <cell r="C278" t="str">
            <v>TUBO CD. 50x50x2</v>
          </cell>
          <cell r="D278">
            <v>3.03</v>
          </cell>
          <cell r="E278">
            <v>3.03</v>
          </cell>
          <cell r="F278">
            <v>50</v>
          </cell>
          <cell r="G278">
            <v>50</v>
          </cell>
          <cell r="H278">
            <v>2</v>
          </cell>
          <cell r="K278">
            <v>200</v>
          </cell>
          <cell r="L278">
            <v>374</v>
          </cell>
          <cell r="M278" t="str">
            <v>12.68.15.275.00</v>
          </cell>
          <cell r="O278" t="str">
            <v>A36</v>
          </cell>
          <cell r="P278" t="str">
            <v>S</v>
          </cell>
        </row>
        <row r="279">
          <cell r="A279">
            <v>278</v>
          </cell>
          <cell r="B279" t="str">
            <v>TUBO ESTRUCTURAL CUADRADO</v>
          </cell>
          <cell r="C279" t="str">
            <v>TUBO CD. 50x50x3</v>
          </cell>
          <cell r="D279">
            <v>4.4800000000000004</v>
          </cell>
          <cell r="E279">
            <v>4.4800000000000004</v>
          </cell>
          <cell r="F279">
            <v>50</v>
          </cell>
          <cell r="G279">
            <v>50</v>
          </cell>
          <cell r="H279">
            <v>3</v>
          </cell>
          <cell r="K279">
            <v>200</v>
          </cell>
          <cell r="L279">
            <v>561</v>
          </cell>
          <cell r="M279" t="str">
            <v>12.68.15.280.00</v>
          </cell>
          <cell r="O279" t="str">
            <v>A36</v>
          </cell>
          <cell r="P279" t="str">
            <v>S</v>
          </cell>
        </row>
        <row r="280">
          <cell r="A280">
            <v>279</v>
          </cell>
          <cell r="B280" t="str">
            <v>TUBO ESTRUCTURAL CUADRADO</v>
          </cell>
          <cell r="C280" t="str">
            <v>TUBO CD. 60x60x1,5</v>
          </cell>
          <cell r="D280">
            <v>2.7100000000000004</v>
          </cell>
          <cell r="E280">
            <v>2.7100000000000004</v>
          </cell>
          <cell r="F280">
            <v>60</v>
          </cell>
          <cell r="G280">
            <v>60</v>
          </cell>
          <cell r="H280">
            <v>1.5</v>
          </cell>
          <cell r="K280">
            <v>240</v>
          </cell>
          <cell r="L280">
            <v>374</v>
          </cell>
          <cell r="O280" t="str">
            <v>A36</v>
          </cell>
          <cell r="P280" t="str">
            <v>N</v>
          </cell>
        </row>
        <row r="281">
          <cell r="A281">
            <v>280</v>
          </cell>
          <cell r="B281" t="str">
            <v>TUBO ESTRUCTURAL CUADRADO</v>
          </cell>
          <cell r="C281" t="str">
            <v>TUBO CD. 60x60x2</v>
          </cell>
          <cell r="D281">
            <v>3.74</v>
          </cell>
          <cell r="E281">
            <v>3.74</v>
          </cell>
          <cell r="F281">
            <v>60</v>
          </cell>
          <cell r="G281">
            <v>60</v>
          </cell>
          <cell r="H281">
            <v>2</v>
          </cell>
          <cell r="K281">
            <v>240</v>
          </cell>
          <cell r="L281">
            <v>454</v>
          </cell>
          <cell r="M281" t="str">
            <v>12.68.15.335.00</v>
          </cell>
          <cell r="O281" t="str">
            <v>A36</v>
          </cell>
          <cell r="P281" t="str">
            <v>N</v>
          </cell>
        </row>
        <row r="282">
          <cell r="A282">
            <v>281</v>
          </cell>
          <cell r="B282" t="str">
            <v>TUBO ESTRUCTURAL CUADRADO</v>
          </cell>
          <cell r="C282" t="str">
            <v>TUBO CD. 60x60x3</v>
          </cell>
          <cell r="D282">
            <v>5.55</v>
          </cell>
          <cell r="E282">
            <v>5.55</v>
          </cell>
          <cell r="F282">
            <v>60</v>
          </cell>
          <cell r="G282">
            <v>60</v>
          </cell>
          <cell r="H282">
            <v>3</v>
          </cell>
          <cell r="K282">
            <v>240</v>
          </cell>
          <cell r="L282">
            <v>661</v>
          </cell>
          <cell r="M282" t="str">
            <v>12.68.15.340.0</v>
          </cell>
          <cell r="O282" t="str">
            <v>A36</v>
          </cell>
          <cell r="P282" t="str">
            <v>N</v>
          </cell>
        </row>
        <row r="283">
          <cell r="A283">
            <v>282</v>
          </cell>
          <cell r="B283" t="str">
            <v>TUBO ESTRUCTURAL CUADRADO</v>
          </cell>
          <cell r="C283" t="str">
            <v>TUBO CD. 75x75x2</v>
          </cell>
          <cell r="D283">
            <v>4.5199999999999996</v>
          </cell>
          <cell r="E283">
            <v>4.5199999999999996</v>
          </cell>
          <cell r="F283">
            <v>75</v>
          </cell>
          <cell r="G283">
            <v>75</v>
          </cell>
          <cell r="H283">
            <v>2</v>
          </cell>
          <cell r="K283">
            <v>300</v>
          </cell>
          <cell r="L283">
            <v>574</v>
          </cell>
          <cell r="M283" t="str">
            <v>12.68.15.365.0</v>
          </cell>
          <cell r="O283" t="str">
            <v>A36</v>
          </cell>
          <cell r="P283" t="str">
            <v>N</v>
          </cell>
        </row>
        <row r="284">
          <cell r="A284">
            <v>283</v>
          </cell>
          <cell r="B284" t="str">
            <v>TUBO ESTRUCTURAL CUADRADO</v>
          </cell>
          <cell r="C284" t="str">
            <v>TUBO CD. 75x75x3</v>
          </cell>
          <cell r="D284">
            <v>6.71</v>
          </cell>
          <cell r="E284">
            <v>6.71</v>
          </cell>
          <cell r="F284">
            <v>75</v>
          </cell>
          <cell r="G284">
            <v>75</v>
          </cell>
          <cell r="H284">
            <v>3</v>
          </cell>
          <cell r="K284">
            <v>300</v>
          </cell>
          <cell r="L284">
            <v>841</v>
          </cell>
          <cell r="M284" t="str">
            <v>12.68.15.370.00</v>
          </cell>
          <cell r="O284" t="str">
            <v>A36</v>
          </cell>
          <cell r="P284" t="str">
            <v>N</v>
          </cell>
        </row>
        <row r="285">
          <cell r="A285">
            <v>284</v>
          </cell>
          <cell r="B285" t="str">
            <v>TUBO ESTRUCTURAL CUADRADO</v>
          </cell>
          <cell r="C285" t="str">
            <v>TUBO CD. 75x75x4</v>
          </cell>
          <cell r="D285">
            <v>8.59</v>
          </cell>
          <cell r="E285">
            <v>8.59</v>
          </cell>
          <cell r="F285">
            <v>75</v>
          </cell>
          <cell r="G285">
            <v>75</v>
          </cell>
          <cell r="H285">
            <v>4</v>
          </cell>
          <cell r="K285">
            <v>300</v>
          </cell>
          <cell r="L285">
            <v>1095</v>
          </cell>
          <cell r="M285" t="str">
            <v>12.68.15.375.00</v>
          </cell>
          <cell r="O285" t="str">
            <v>A36</v>
          </cell>
          <cell r="P285" t="str">
            <v>N</v>
          </cell>
        </row>
        <row r="286">
          <cell r="A286">
            <v>285</v>
          </cell>
          <cell r="B286" t="str">
            <v>TUBO ESTRUCTURAL CUADRADO</v>
          </cell>
          <cell r="C286" t="str">
            <v>TUBO CD. 100x100x2</v>
          </cell>
          <cell r="D286">
            <v>6.17</v>
          </cell>
          <cell r="E286">
            <v>6.17</v>
          </cell>
          <cell r="F286">
            <v>100</v>
          </cell>
          <cell r="G286">
            <v>100</v>
          </cell>
          <cell r="H286">
            <v>2</v>
          </cell>
          <cell r="K286">
            <v>400</v>
          </cell>
          <cell r="L286">
            <v>774</v>
          </cell>
          <cell r="M286" t="str">
            <v>12.68.15.460.0</v>
          </cell>
          <cell r="O286" t="str">
            <v>A36</v>
          </cell>
          <cell r="P286" t="str">
            <v>S</v>
          </cell>
        </row>
        <row r="287">
          <cell r="A287">
            <v>286</v>
          </cell>
          <cell r="B287" t="str">
            <v>TUBO ESTRUCTURAL CUADRADO</v>
          </cell>
          <cell r="C287" t="str">
            <v>TUBO CD. 100x100x3</v>
          </cell>
          <cell r="D287">
            <v>9.17</v>
          </cell>
          <cell r="E287">
            <v>9.17</v>
          </cell>
          <cell r="F287">
            <v>100</v>
          </cell>
          <cell r="G287">
            <v>100</v>
          </cell>
          <cell r="H287">
            <v>3</v>
          </cell>
          <cell r="K287">
            <v>400</v>
          </cell>
          <cell r="L287">
            <v>1141</v>
          </cell>
          <cell r="M287" t="str">
            <v>12.68.15.465.00</v>
          </cell>
          <cell r="O287" t="str">
            <v>A36</v>
          </cell>
          <cell r="P287" t="str">
            <v>S</v>
          </cell>
        </row>
        <row r="288">
          <cell r="A288">
            <v>287</v>
          </cell>
          <cell r="B288" t="str">
            <v>TUBO ESTRUCTURAL CUADRADO</v>
          </cell>
          <cell r="C288" t="str">
            <v>TUBO CD. 100x100x4</v>
          </cell>
          <cell r="D288">
            <v>12.13</v>
          </cell>
          <cell r="E288">
            <v>12.13</v>
          </cell>
          <cell r="F288">
            <v>100</v>
          </cell>
          <cell r="G288">
            <v>100</v>
          </cell>
          <cell r="H288">
            <v>4</v>
          </cell>
          <cell r="K288">
            <v>400</v>
          </cell>
          <cell r="L288">
            <v>1495</v>
          </cell>
          <cell r="M288" t="str">
            <v>12.68.15.470.00</v>
          </cell>
          <cell r="O288" t="str">
            <v>A36</v>
          </cell>
          <cell r="P288" t="str">
            <v>S</v>
          </cell>
        </row>
        <row r="289">
          <cell r="A289">
            <v>288</v>
          </cell>
          <cell r="B289" t="str">
            <v>TUBO ESTRUCTURAL CUADRADO</v>
          </cell>
          <cell r="C289" t="str">
            <v>TUBO CD. 100x100x5</v>
          </cell>
          <cell r="D289">
            <v>14.4</v>
          </cell>
          <cell r="E289">
            <v>14.4</v>
          </cell>
          <cell r="F289">
            <v>100</v>
          </cell>
          <cell r="G289">
            <v>100</v>
          </cell>
          <cell r="H289">
            <v>5</v>
          </cell>
          <cell r="K289">
            <v>400</v>
          </cell>
          <cell r="L289">
            <v>1836</v>
          </cell>
          <cell r="M289" t="str">
            <v>12.68.15.472.00</v>
          </cell>
          <cell r="O289" t="str">
            <v>A36</v>
          </cell>
          <cell r="P289" t="str">
            <v>N</v>
          </cell>
        </row>
        <row r="290">
          <cell r="A290">
            <v>289</v>
          </cell>
          <cell r="B290" t="str">
            <v>TUBO ESTRUCTURAL RECTANGULAR</v>
          </cell>
          <cell r="C290" t="str">
            <v>TUBO RT. 20x40x1,2</v>
          </cell>
          <cell r="D290">
            <v>1.0900000000000001</v>
          </cell>
          <cell r="E290">
            <v>1.0900000000000001</v>
          </cell>
          <cell r="F290">
            <v>40</v>
          </cell>
          <cell r="G290">
            <v>20</v>
          </cell>
          <cell r="H290">
            <v>1.2</v>
          </cell>
          <cell r="K290">
            <v>120</v>
          </cell>
          <cell r="L290">
            <v>132</v>
          </cell>
          <cell r="O290" t="str">
            <v>A36</v>
          </cell>
          <cell r="P290" t="str">
            <v>N</v>
          </cell>
        </row>
        <row r="291">
          <cell r="A291">
            <v>290</v>
          </cell>
          <cell r="B291" t="str">
            <v>TUBO ESTRUCTURAL RECTANGULAR</v>
          </cell>
          <cell r="C291" t="str">
            <v>TUBO RT. 20x40x1,5</v>
          </cell>
          <cell r="D291">
            <v>1.35</v>
          </cell>
          <cell r="E291">
            <v>1.35</v>
          </cell>
          <cell r="F291">
            <v>40</v>
          </cell>
          <cell r="G291">
            <v>20</v>
          </cell>
          <cell r="H291">
            <v>1.5</v>
          </cell>
          <cell r="K291">
            <v>120</v>
          </cell>
          <cell r="L291">
            <v>165</v>
          </cell>
          <cell r="O291" t="str">
            <v>A36</v>
          </cell>
          <cell r="P291" t="str">
            <v>N</v>
          </cell>
        </row>
        <row r="292">
          <cell r="A292">
            <v>291</v>
          </cell>
          <cell r="B292" t="str">
            <v>TUBO ESTRUCTURAL RECTANGULAR</v>
          </cell>
          <cell r="C292" t="str">
            <v>TUBO RT. 20x40x2</v>
          </cell>
          <cell r="D292">
            <v>1.78</v>
          </cell>
          <cell r="E292">
            <v>1.78</v>
          </cell>
          <cell r="F292">
            <v>40</v>
          </cell>
          <cell r="G292">
            <v>20</v>
          </cell>
          <cell r="H292">
            <v>2</v>
          </cell>
          <cell r="K292">
            <v>120</v>
          </cell>
          <cell r="L292">
            <v>214</v>
          </cell>
          <cell r="M292" t="str">
            <v>12.68.45.030.00</v>
          </cell>
          <cell r="O292" t="str">
            <v>A36</v>
          </cell>
          <cell r="P292" t="str">
            <v>S</v>
          </cell>
        </row>
        <row r="293">
          <cell r="A293">
            <v>292</v>
          </cell>
          <cell r="B293" t="str">
            <v>TUBO ESTRUCTURAL RECTANGULAR</v>
          </cell>
          <cell r="C293" t="str">
            <v>TUBO RT. 25x50x1,5</v>
          </cell>
          <cell r="D293">
            <v>1.71</v>
          </cell>
          <cell r="E293">
            <v>1.71</v>
          </cell>
          <cell r="F293">
            <v>50</v>
          </cell>
          <cell r="G293">
            <v>25</v>
          </cell>
          <cell r="H293">
            <v>1.5</v>
          </cell>
          <cell r="K293">
            <v>150</v>
          </cell>
          <cell r="L293">
            <v>210</v>
          </cell>
          <cell r="O293" t="str">
            <v>A36</v>
          </cell>
          <cell r="P293" t="str">
            <v>N</v>
          </cell>
        </row>
        <row r="294">
          <cell r="A294">
            <v>293</v>
          </cell>
          <cell r="B294" t="str">
            <v>TUBO ESTRUCTURAL RECTANGULAR</v>
          </cell>
          <cell r="C294" t="str">
            <v>TUBO RT. 25x50x2</v>
          </cell>
          <cell r="D294">
            <v>2.25</v>
          </cell>
          <cell r="E294">
            <v>2.25</v>
          </cell>
          <cell r="F294">
            <v>50</v>
          </cell>
          <cell r="G294">
            <v>25</v>
          </cell>
          <cell r="H294">
            <v>2</v>
          </cell>
          <cell r="K294">
            <v>150</v>
          </cell>
          <cell r="L294">
            <v>274</v>
          </cell>
          <cell r="M294" t="str">
            <v>12.68.45.070.00</v>
          </cell>
          <cell r="O294" t="str">
            <v>A36</v>
          </cell>
          <cell r="P294" t="str">
            <v>N</v>
          </cell>
        </row>
        <row r="295">
          <cell r="A295">
            <v>294</v>
          </cell>
          <cell r="B295" t="str">
            <v>TUBO ESTRUCTURAL RECTANGULAR</v>
          </cell>
          <cell r="C295" t="str">
            <v>TUBO RT. 25x50x3</v>
          </cell>
          <cell r="D295">
            <v>3.3</v>
          </cell>
          <cell r="E295">
            <v>3.3</v>
          </cell>
          <cell r="F295">
            <v>50</v>
          </cell>
          <cell r="G295">
            <v>25</v>
          </cell>
          <cell r="H295">
            <v>3</v>
          </cell>
          <cell r="K295">
            <v>150</v>
          </cell>
          <cell r="L295">
            <v>413.99999999999994</v>
          </cell>
          <cell r="O295" t="str">
            <v>A36</v>
          </cell>
          <cell r="P295" t="str">
            <v>S</v>
          </cell>
        </row>
        <row r="296">
          <cell r="A296">
            <v>295</v>
          </cell>
          <cell r="B296" t="str">
            <v>TUBO ESTRUCTURAL RECTANGULAR</v>
          </cell>
          <cell r="C296" t="str">
            <v>TUBO RT. 30x50x1,5</v>
          </cell>
          <cell r="D296">
            <v>1.88</v>
          </cell>
          <cell r="E296">
            <v>1.88</v>
          </cell>
          <cell r="F296">
            <v>50</v>
          </cell>
          <cell r="G296">
            <v>30</v>
          </cell>
          <cell r="H296">
            <v>1.5</v>
          </cell>
          <cell r="K296">
            <v>160</v>
          </cell>
          <cell r="L296">
            <v>225</v>
          </cell>
          <cell r="M296" t="str">
            <v>12.68.45.095.0</v>
          </cell>
          <cell r="O296" t="str">
            <v>A36</v>
          </cell>
          <cell r="P296" t="str">
            <v>N</v>
          </cell>
        </row>
        <row r="297">
          <cell r="A297">
            <v>296</v>
          </cell>
          <cell r="B297" t="str">
            <v>TUBO ESTRUCTURAL RECTANGULAR</v>
          </cell>
          <cell r="C297" t="str">
            <v>TUBO RT. 30x50x2</v>
          </cell>
          <cell r="D297">
            <v>2.41</v>
          </cell>
          <cell r="E297">
            <v>2.41</v>
          </cell>
          <cell r="F297">
            <v>50</v>
          </cell>
          <cell r="G297">
            <v>30</v>
          </cell>
          <cell r="H297">
            <v>2</v>
          </cell>
          <cell r="K297">
            <v>160</v>
          </cell>
          <cell r="L297">
            <v>294</v>
          </cell>
          <cell r="M297" t="str">
            <v>12.68.45.100.0</v>
          </cell>
          <cell r="O297" t="str">
            <v>A36</v>
          </cell>
          <cell r="P297" t="str">
            <v>N</v>
          </cell>
        </row>
        <row r="298">
          <cell r="A298">
            <v>297</v>
          </cell>
          <cell r="B298" t="str">
            <v>TUBO ESTRUCTURAL RECTANGULAR</v>
          </cell>
          <cell r="C298" t="str">
            <v>TUBO RT. 30x50x3</v>
          </cell>
          <cell r="D298">
            <v>3.3</v>
          </cell>
          <cell r="E298">
            <v>3.3</v>
          </cell>
          <cell r="F298">
            <v>50</v>
          </cell>
          <cell r="G298">
            <v>30</v>
          </cell>
          <cell r="H298">
            <v>3</v>
          </cell>
          <cell r="K298">
            <v>160</v>
          </cell>
          <cell r="L298">
            <v>421</v>
          </cell>
          <cell r="M298" t="str">
            <v>12.68.45.105.0</v>
          </cell>
          <cell r="O298" t="str">
            <v>A36</v>
          </cell>
          <cell r="P298" t="str">
            <v>S</v>
          </cell>
        </row>
        <row r="299">
          <cell r="A299">
            <v>298</v>
          </cell>
          <cell r="B299" t="str">
            <v>TUBO ESTRUCTURAL RECTANGULAR</v>
          </cell>
          <cell r="C299" t="str">
            <v>TUBO RT. 30x70x1,5</v>
          </cell>
          <cell r="D299">
            <v>2.34</v>
          </cell>
          <cell r="E299">
            <v>2.34</v>
          </cell>
          <cell r="F299">
            <v>70</v>
          </cell>
          <cell r="G299">
            <v>30</v>
          </cell>
          <cell r="H299">
            <v>1.5</v>
          </cell>
          <cell r="K299">
            <v>200</v>
          </cell>
          <cell r="L299">
            <v>291</v>
          </cell>
          <cell r="O299" t="str">
            <v>A36</v>
          </cell>
          <cell r="P299" t="str">
            <v>N</v>
          </cell>
        </row>
        <row r="300">
          <cell r="A300">
            <v>299</v>
          </cell>
          <cell r="B300" t="str">
            <v>TUBO ESTRUCTURAL RECTANGULAR</v>
          </cell>
          <cell r="C300" t="str">
            <v>TUBO RT. 30x70x2</v>
          </cell>
          <cell r="D300">
            <v>2.9299999999999997</v>
          </cell>
          <cell r="E300">
            <v>2.9299999999999997</v>
          </cell>
          <cell r="F300">
            <v>70</v>
          </cell>
          <cell r="G300">
            <v>30</v>
          </cell>
          <cell r="H300">
            <v>2</v>
          </cell>
          <cell r="K300">
            <v>200</v>
          </cell>
          <cell r="L300">
            <v>374</v>
          </cell>
          <cell r="M300" t="str">
            <v>12.68.45.115.00</v>
          </cell>
          <cell r="O300" t="str">
            <v>A36</v>
          </cell>
          <cell r="P300" t="str">
            <v>N</v>
          </cell>
        </row>
        <row r="301">
          <cell r="A301">
            <v>300</v>
          </cell>
          <cell r="B301" t="str">
            <v>TUBO ESTRUCTURAL RECTANGULAR</v>
          </cell>
          <cell r="C301" t="str">
            <v>TUBO RT. 30x70x3</v>
          </cell>
          <cell r="D301">
            <v>4.25</v>
          </cell>
          <cell r="E301">
            <v>4.25</v>
          </cell>
          <cell r="F301">
            <v>70</v>
          </cell>
          <cell r="G301">
            <v>30</v>
          </cell>
          <cell r="H301">
            <v>3</v>
          </cell>
          <cell r="K301">
            <v>200</v>
          </cell>
          <cell r="L301">
            <v>541</v>
          </cell>
          <cell r="M301" t="str">
            <v>12.68.45.120.01</v>
          </cell>
          <cell r="O301" t="str">
            <v>A36</v>
          </cell>
          <cell r="P301" t="str">
            <v>N</v>
          </cell>
        </row>
        <row r="302">
          <cell r="A302">
            <v>301</v>
          </cell>
          <cell r="B302" t="str">
            <v>TUBO ESTRUCTURAL RECTANGULAR</v>
          </cell>
          <cell r="C302" t="str">
            <v>TUBO RT. 30x70x4</v>
          </cell>
          <cell r="D302">
            <v>5.45</v>
          </cell>
          <cell r="E302">
            <v>5.45</v>
          </cell>
          <cell r="F302">
            <v>70</v>
          </cell>
          <cell r="G302">
            <v>30</v>
          </cell>
          <cell r="H302">
            <v>4</v>
          </cell>
          <cell r="K302">
            <v>200</v>
          </cell>
          <cell r="L302">
            <v>695</v>
          </cell>
          <cell r="O302" t="str">
            <v>A36</v>
          </cell>
          <cell r="P302" t="str">
            <v>N</v>
          </cell>
        </row>
        <row r="303">
          <cell r="A303">
            <v>302</v>
          </cell>
          <cell r="B303" t="str">
            <v>TUBO ESTRUCTURAL RECTANGULAR</v>
          </cell>
          <cell r="C303" t="str">
            <v>TUBO RT. 40x60x1,5</v>
          </cell>
          <cell r="D303">
            <v>2.29</v>
          </cell>
          <cell r="E303">
            <v>2.29</v>
          </cell>
          <cell r="F303">
            <v>60</v>
          </cell>
          <cell r="G303">
            <v>40</v>
          </cell>
          <cell r="H303">
            <v>1.5</v>
          </cell>
          <cell r="K303">
            <v>200</v>
          </cell>
          <cell r="L303">
            <v>291</v>
          </cell>
          <cell r="O303" t="str">
            <v>A36</v>
          </cell>
          <cell r="P303" t="str">
            <v>N</v>
          </cell>
        </row>
        <row r="304">
          <cell r="A304">
            <v>303</v>
          </cell>
          <cell r="B304" t="str">
            <v>TUBO ESTRUCTURAL RECTANGULAR</v>
          </cell>
          <cell r="C304" t="str">
            <v>TUBO RT. 40x60x2</v>
          </cell>
          <cell r="D304">
            <v>3.03</v>
          </cell>
          <cell r="E304">
            <v>3.03</v>
          </cell>
          <cell r="F304">
            <v>60</v>
          </cell>
          <cell r="G304">
            <v>40</v>
          </cell>
          <cell r="H304">
            <v>2</v>
          </cell>
          <cell r="K304">
            <v>200</v>
          </cell>
          <cell r="L304">
            <v>374</v>
          </cell>
          <cell r="M304" t="str">
            <v>12.68.45.114.0</v>
          </cell>
          <cell r="O304" t="str">
            <v>A36</v>
          </cell>
          <cell r="P304" t="str">
            <v>N</v>
          </cell>
        </row>
        <row r="305">
          <cell r="A305">
            <v>304</v>
          </cell>
          <cell r="B305" t="str">
            <v>TUBO ESTRUCTURAL RECTANGULAR</v>
          </cell>
          <cell r="C305" t="str">
            <v>TUBO RT. 40x60x3</v>
          </cell>
          <cell r="D305">
            <v>4.4800000000000004</v>
          </cell>
          <cell r="E305">
            <v>4.4800000000000004</v>
          </cell>
          <cell r="F305">
            <v>60</v>
          </cell>
          <cell r="G305">
            <v>40</v>
          </cell>
          <cell r="H305">
            <v>3</v>
          </cell>
          <cell r="K305">
            <v>200</v>
          </cell>
          <cell r="L305">
            <v>541</v>
          </cell>
          <cell r="M305" t="str">
            <v>12.68.45.195.00</v>
          </cell>
          <cell r="O305" t="str">
            <v>A36</v>
          </cell>
          <cell r="P305" t="str">
            <v>N</v>
          </cell>
        </row>
        <row r="306">
          <cell r="A306">
            <v>305</v>
          </cell>
          <cell r="B306" t="str">
            <v>TUBO ESTRUCTURAL RECTANGULAR</v>
          </cell>
          <cell r="C306" t="str">
            <v>TUBO RT. 40x60x4</v>
          </cell>
          <cell r="D306">
            <v>5.45</v>
          </cell>
          <cell r="E306">
            <v>5.45</v>
          </cell>
          <cell r="F306">
            <v>60</v>
          </cell>
          <cell r="G306">
            <v>40</v>
          </cell>
          <cell r="H306">
            <v>4</v>
          </cell>
          <cell r="K306">
            <v>200</v>
          </cell>
          <cell r="L306">
            <v>695</v>
          </cell>
          <cell r="O306" t="str">
            <v>A36</v>
          </cell>
          <cell r="P306" t="str">
            <v>N</v>
          </cell>
        </row>
        <row r="307">
          <cell r="A307">
            <v>306</v>
          </cell>
          <cell r="B307" t="str">
            <v>TUBO ESTRUCTURAL RECTANGULAR</v>
          </cell>
          <cell r="C307" t="str">
            <v>TUBO RT. 40x80x1,5</v>
          </cell>
          <cell r="D307">
            <v>2.76</v>
          </cell>
          <cell r="E307">
            <v>2.76</v>
          </cell>
          <cell r="F307">
            <v>80</v>
          </cell>
          <cell r="G307">
            <v>40</v>
          </cell>
          <cell r="H307">
            <v>1.5</v>
          </cell>
          <cell r="K307">
            <v>240</v>
          </cell>
          <cell r="L307">
            <v>374</v>
          </cell>
          <cell r="O307" t="str">
            <v>A36</v>
          </cell>
          <cell r="P307" t="str">
            <v>N</v>
          </cell>
        </row>
        <row r="308">
          <cell r="A308">
            <v>307</v>
          </cell>
          <cell r="B308" t="str">
            <v>TUBO ESTRUCTURAL RECTANGULAR</v>
          </cell>
          <cell r="C308" t="str">
            <v>TUBO RT. 40x80x2</v>
          </cell>
          <cell r="D308">
            <v>3.66</v>
          </cell>
          <cell r="E308">
            <v>3.66</v>
          </cell>
          <cell r="F308">
            <v>80</v>
          </cell>
          <cell r="G308">
            <v>40</v>
          </cell>
          <cell r="H308">
            <v>2</v>
          </cell>
          <cell r="K308">
            <v>240</v>
          </cell>
          <cell r="L308">
            <v>454</v>
          </cell>
          <cell r="M308" t="str">
            <v>12.68.45.216.0</v>
          </cell>
          <cell r="O308" t="str">
            <v>A36</v>
          </cell>
          <cell r="P308" t="str">
            <v>N</v>
          </cell>
        </row>
        <row r="309">
          <cell r="A309">
            <v>308</v>
          </cell>
          <cell r="B309" t="str">
            <v>TUBO ESTRUCTURAL RECTANGULAR</v>
          </cell>
          <cell r="C309" t="str">
            <v>TUBO RT. 40x80x3</v>
          </cell>
          <cell r="D309">
            <v>5.19</v>
          </cell>
          <cell r="E309">
            <v>5.19</v>
          </cell>
          <cell r="F309">
            <v>80</v>
          </cell>
          <cell r="G309">
            <v>40</v>
          </cell>
          <cell r="H309">
            <v>3</v>
          </cell>
          <cell r="K309">
            <v>240</v>
          </cell>
          <cell r="L309">
            <v>661</v>
          </cell>
          <cell r="M309" t="str">
            <v>12.68.45.215.0</v>
          </cell>
          <cell r="O309" t="str">
            <v>A36</v>
          </cell>
          <cell r="P309" t="str">
            <v>N</v>
          </cell>
        </row>
        <row r="310">
          <cell r="A310">
            <v>309</v>
          </cell>
          <cell r="B310" t="str">
            <v>TUBO ESTRUCTURAL RECTANGULAR</v>
          </cell>
          <cell r="C310" t="str">
            <v>TUBO RT. 40x80x4</v>
          </cell>
          <cell r="D310">
            <v>6.71</v>
          </cell>
          <cell r="E310">
            <v>6.71</v>
          </cell>
          <cell r="F310">
            <v>80</v>
          </cell>
          <cell r="G310">
            <v>40</v>
          </cell>
          <cell r="H310">
            <v>4</v>
          </cell>
          <cell r="K310">
            <v>240</v>
          </cell>
          <cell r="L310">
            <v>855.00000000000011</v>
          </cell>
          <cell r="M310" t="str">
            <v>12.68.45.220.0</v>
          </cell>
          <cell r="O310" t="str">
            <v>A36</v>
          </cell>
          <cell r="P310" t="str">
            <v>N</v>
          </cell>
        </row>
        <row r="311">
          <cell r="A311">
            <v>310</v>
          </cell>
          <cell r="B311" t="str">
            <v>TUBO ESTRUCTURAL RECTANGULAR</v>
          </cell>
          <cell r="C311" t="str">
            <v>TUBO RT. 50x100x2</v>
          </cell>
          <cell r="D311">
            <v>4.5199999999999996</v>
          </cell>
          <cell r="E311">
            <v>4.5199999999999996</v>
          </cell>
          <cell r="F311">
            <v>100</v>
          </cell>
          <cell r="G311">
            <v>50</v>
          </cell>
          <cell r="H311">
            <v>2</v>
          </cell>
          <cell r="K311">
            <v>300</v>
          </cell>
          <cell r="L311">
            <v>574</v>
          </cell>
          <cell r="M311" t="str">
            <v>12.68.45.245.0</v>
          </cell>
          <cell r="O311" t="str">
            <v>A36</v>
          </cell>
          <cell r="P311" t="str">
            <v>S</v>
          </cell>
        </row>
        <row r="312">
          <cell r="A312">
            <v>311</v>
          </cell>
          <cell r="B312" t="str">
            <v>TUBO ESTRUCTURAL RECTANGULAR</v>
          </cell>
          <cell r="C312" t="str">
            <v>TUBO RT. 50x100x3</v>
          </cell>
          <cell r="D312">
            <v>6.71</v>
          </cell>
          <cell r="E312">
            <v>6.71</v>
          </cell>
          <cell r="F312">
            <v>100</v>
          </cell>
          <cell r="G312">
            <v>50</v>
          </cell>
          <cell r="H312">
            <v>3</v>
          </cell>
          <cell r="K312">
            <v>300</v>
          </cell>
          <cell r="L312">
            <v>841</v>
          </cell>
          <cell r="M312" t="str">
            <v>12.68.45.250.00</v>
          </cell>
          <cell r="O312" t="str">
            <v>A36</v>
          </cell>
          <cell r="P312" t="str">
            <v>S</v>
          </cell>
        </row>
        <row r="313">
          <cell r="A313">
            <v>312</v>
          </cell>
          <cell r="B313" t="str">
            <v>TUBO ESTRUCTURAL RECTANGULAR</v>
          </cell>
          <cell r="C313" t="str">
            <v>TUBO RT. 50x100x4</v>
          </cell>
          <cell r="D313">
            <v>8.59</v>
          </cell>
          <cell r="E313">
            <v>8.59</v>
          </cell>
          <cell r="F313">
            <v>100</v>
          </cell>
          <cell r="G313">
            <v>50</v>
          </cell>
          <cell r="H313">
            <v>4</v>
          </cell>
          <cell r="K313">
            <v>300</v>
          </cell>
          <cell r="L313">
            <v>1059</v>
          </cell>
          <cell r="M313" t="str">
            <v>12.68.45.255.0</v>
          </cell>
          <cell r="O313" t="str">
            <v>A36</v>
          </cell>
          <cell r="P313" t="str">
            <v>N</v>
          </cell>
        </row>
        <row r="314">
          <cell r="A314">
            <v>313</v>
          </cell>
          <cell r="B314" t="str">
            <v>TUBO ESTRUCTURAL RECTANGULAR</v>
          </cell>
          <cell r="C314" t="str">
            <v>TUBO RT. 50x150x2</v>
          </cell>
          <cell r="D314">
            <v>6.17</v>
          </cell>
          <cell r="E314">
            <v>6.17</v>
          </cell>
          <cell r="F314">
            <v>150</v>
          </cell>
          <cell r="G314">
            <v>50</v>
          </cell>
          <cell r="H314">
            <v>2</v>
          </cell>
          <cell r="K314">
            <v>400</v>
          </cell>
          <cell r="L314">
            <v>774</v>
          </cell>
          <cell r="O314" t="str">
            <v>A36</v>
          </cell>
          <cell r="P314" t="str">
            <v>N</v>
          </cell>
        </row>
        <row r="315">
          <cell r="A315">
            <v>314</v>
          </cell>
          <cell r="B315" t="str">
            <v>TUBO ESTRUCTURAL RECTANGULAR</v>
          </cell>
          <cell r="C315" t="str">
            <v>TUBO RT. 50x150x3</v>
          </cell>
          <cell r="D315">
            <v>9.17</v>
          </cell>
          <cell r="E315">
            <v>9.17</v>
          </cell>
          <cell r="F315">
            <v>150</v>
          </cell>
          <cell r="G315">
            <v>50</v>
          </cell>
          <cell r="H315">
            <v>3</v>
          </cell>
          <cell r="K315">
            <v>400</v>
          </cell>
          <cell r="L315">
            <v>1141</v>
          </cell>
          <cell r="M315" t="str">
            <v>12.68.45.265.00</v>
          </cell>
          <cell r="O315" t="str">
            <v>A36</v>
          </cell>
          <cell r="P315" t="str">
            <v>N</v>
          </cell>
        </row>
        <row r="316">
          <cell r="A316">
            <v>315</v>
          </cell>
          <cell r="B316" t="str">
            <v>TUBO ESTRUCTURAL RECTANGULAR</v>
          </cell>
          <cell r="C316" t="str">
            <v>TUBO RT. 50x150x4</v>
          </cell>
          <cell r="D316">
            <v>11.729999999999999</v>
          </cell>
          <cell r="E316">
            <v>11.729999999999999</v>
          </cell>
          <cell r="F316">
            <v>150</v>
          </cell>
          <cell r="G316">
            <v>50</v>
          </cell>
          <cell r="H316">
            <v>4</v>
          </cell>
          <cell r="K316">
            <v>400</v>
          </cell>
          <cell r="L316">
            <v>1495</v>
          </cell>
          <cell r="M316" t="str">
            <v>12.68.45.270.0</v>
          </cell>
          <cell r="O316" t="str">
            <v>A36</v>
          </cell>
          <cell r="P316" t="str">
            <v>N</v>
          </cell>
        </row>
        <row r="317">
          <cell r="A317">
            <v>316</v>
          </cell>
          <cell r="B317" t="str">
            <v>VARILLA CUADRADA LISA (Laminado)</v>
          </cell>
          <cell r="C317" t="str">
            <v>VAR. BC 8</v>
          </cell>
          <cell r="D317">
            <v>0.56833333333333336</v>
          </cell>
          <cell r="E317">
            <v>0.56833333333333336</v>
          </cell>
          <cell r="F317">
            <v>8</v>
          </cell>
          <cell r="G317">
            <v>8</v>
          </cell>
          <cell r="K317">
            <v>32</v>
          </cell>
          <cell r="L317">
            <v>72</v>
          </cell>
          <cell r="M317" t="str">
            <v>12.75.24.040.0</v>
          </cell>
          <cell r="O317" t="str">
            <v>A36</v>
          </cell>
          <cell r="P317" t="str">
            <v>N</v>
          </cell>
        </row>
        <row r="318">
          <cell r="A318">
            <v>317</v>
          </cell>
          <cell r="B318" t="str">
            <v>VARILLA CUADRADA LISA (Laminado)</v>
          </cell>
          <cell r="C318" t="str">
            <v>VAR. BC 9</v>
          </cell>
          <cell r="D318">
            <v>0.63833333333333331</v>
          </cell>
          <cell r="E318">
            <v>0.63833333333333331</v>
          </cell>
          <cell r="F318">
            <v>9</v>
          </cell>
          <cell r="G318">
            <v>9</v>
          </cell>
          <cell r="K318">
            <v>36</v>
          </cell>
          <cell r="L318">
            <v>81</v>
          </cell>
          <cell r="O318" t="str">
            <v>A36</v>
          </cell>
          <cell r="P318" t="str">
            <v>N</v>
          </cell>
        </row>
        <row r="319">
          <cell r="A319">
            <v>318</v>
          </cell>
          <cell r="B319" t="str">
            <v>VARILLA CUADRADA LISA (Laminado)</v>
          </cell>
          <cell r="C319" t="str">
            <v>VAR. BC 11</v>
          </cell>
          <cell r="D319">
            <v>0.95000000000000007</v>
          </cell>
          <cell r="E319">
            <v>0.95000000000000007</v>
          </cell>
          <cell r="F319">
            <v>11</v>
          </cell>
          <cell r="G319">
            <v>11</v>
          </cell>
          <cell r="K319">
            <v>44</v>
          </cell>
          <cell r="L319">
            <v>121</v>
          </cell>
          <cell r="M319" t="str">
            <v>12.75.24.075.0</v>
          </cell>
          <cell r="O319" t="str">
            <v>A36</v>
          </cell>
          <cell r="P319" t="str">
            <v>N</v>
          </cell>
        </row>
        <row r="320">
          <cell r="A320">
            <v>319</v>
          </cell>
          <cell r="B320" t="str">
            <v>VARILLA CUADRADA LISA (Laminado)</v>
          </cell>
          <cell r="C320" t="str">
            <v>VAR. BC 15</v>
          </cell>
          <cell r="D320">
            <v>1.7666666666666666</v>
          </cell>
          <cell r="E320">
            <v>1.7666666666666666</v>
          </cell>
          <cell r="F320">
            <v>15</v>
          </cell>
          <cell r="G320">
            <v>15</v>
          </cell>
          <cell r="K320">
            <v>60</v>
          </cell>
          <cell r="L320">
            <v>225</v>
          </cell>
          <cell r="O320" t="str">
            <v>A36</v>
          </cell>
          <cell r="P320" t="str">
            <v>N</v>
          </cell>
        </row>
        <row r="321">
          <cell r="A321">
            <v>320</v>
          </cell>
          <cell r="B321" t="str">
            <v>VARILLA CUADRADA LISA (Laminado)</v>
          </cell>
          <cell r="C321" t="str">
            <v>VAR. BC 18</v>
          </cell>
          <cell r="D321">
            <v>2.5433333333333334</v>
          </cell>
          <cell r="E321">
            <v>2.5433333333333334</v>
          </cell>
          <cell r="F321">
            <v>18</v>
          </cell>
          <cell r="G321">
            <v>18</v>
          </cell>
          <cell r="K321">
            <v>72</v>
          </cell>
          <cell r="L321">
            <v>324</v>
          </cell>
          <cell r="O321" t="str">
            <v>A36</v>
          </cell>
          <cell r="P321" t="str">
            <v>N</v>
          </cell>
        </row>
        <row r="322">
          <cell r="A322">
            <v>321</v>
          </cell>
          <cell r="B322" t="str">
            <v>VARILLA CUADRADA LISA (Laminado)</v>
          </cell>
          <cell r="C322" t="str">
            <v>VAR. BC 24,5</v>
          </cell>
          <cell r="D322">
            <v>4.7166666666666668</v>
          </cell>
          <cell r="E322">
            <v>4.7166666666666668</v>
          </cell>
          <cell r="F322">
            <v>24.5</v>
          </cell>
          <cell r="G322">
            <v>24.5</v>
          </cell>
          <cell r="K322">
            <v>98</v>
          </cell>
          <cell r="L322">
            <v>600</v>
          </cell>
          <cell r="M322" t="str">
            <v>12.75.24.150.0</v>
          </cell>
          <cell r="O322" t="str">
            <v>A36</v>
          </cell>
          <cell r="P322" t="str">
            <v>N</v>
          </cell>
        </row>
        <row r="323">
          <cell r="A323">
            <v>322</v>
          </cell>
          <cell r="B323" t="str">
            <v>VARILLA REDONDA LISA (Laminado)</v>
          </cell>
          <cell r="C323" t="str">
            <v>VAR. BRL 5.5</v>
          </cell>
          <cell r="D323">
            <v>0.34</v>
          </cell>
          <cell r="E323">
            <v>0.34</v>
          </cell>
          <cell r="F323">
            <v>5.5</v>
          </cell>
          <cell r="K323">
            <v>17.278745000000001</v>
          </cell>
          <cell r="L323">
            <v>43</v>
          </cell>
          <cell r="O323" t="str">
            <v>A36</v>
          </cell>
          <cell r="P323" t="str">
            <v>N</v>
          </cell>
        </row>
        <row r="324">
          <cell r="A324">
            <v>323</v>
          </cell>
          <cell r="B324" t="str">
            <v>VARILLA REDONDA LISA (Laminado)</v>
          </cell>
          <cell r="C324" t="str">
            <v>VAR. TREFILADO BRL 6</v>
          </cell>
          <cell r="D324">
            <v>0.222</v>
          </cell>
          <cell r="E324">
            <v>0.222</v>
          </cell>
          <cell r="F324">
            <v>5.5</v>
          </cell>
          <cell r="K324">
            <v>17.278745000000001</v>
          </cell>
          <cell r="M324" t="str">
            <v>12.75.40.020.00</v>
          </cell>
          <cell r="O324" t="str">
            <v>A36</v>
          </cell>
          <cell r="P324" t="str">
            <v>S</v>
          </cell>
        </row>
        <row r="325">
          <cell r="A325">
            <v>324</v>
          </cell>
          <cell r="B325" t="str">
            <v>VARILLA REDONDA LISA (Laminado)</v>
          </cell>
          <cell r="C325" t="str">
            <v>VAR. BRL 8</v>
          </cell>
          <cell r="D325">
            <v>0.39500000000000002</v>
          </cell>
          <cell r="E325">
            <v>0.39500000000000002</v>
          </cell>
          <cell r="F325">
            <v>8</v>
          </cell>
          <cell r="K325">
            <v>25.132719999999999</v>
          </cell>
          <cell r="L325">
            <v>63</v>
          </cell>
          <cell r="M325" t="str">
            <v>12.75.40.040.00</v>
          </cell>
          <cell r="O325" t="str">
            <v>A36</v>
          </cell>
          <cell r="P325" t="str">
            <v>S</v>
          </cell>
        </row>
        <row r="326">
          <cell r="A326">
            <v>325</v>
          </cell>
          <cell r="B326" t="str">
            <v>VARILLA REDONDA LISA (Laminado)</v>
          </cell>
          <cell r="C326" t="str">
            <v>VAR. BRL 10</v>
          </cell>
          <cell r="D326">
            <v>0.6166666666666667</v>
          </cell>
          <cell r="E326">
            <v>0.6166666666666667</v>
          </cell>
          <cell r="F326">
            <v>10</v>
          </cell>
          <cell r="K326">
            <v>31.415900000000001</v>
          </cell>
          <cell r="L326">
            <v>79</v>
          </cell>
          <cell r="M326" t="str">
            <v>12.75.40.050.00</v>
          </cell>
          <cell r="O326" t="str">
            <v>A36</v>
          </cell>
          <cell r="P326" t="str">
            <v>S</v>
          </cell>
        </row>
        <row r="327">
          <cell r="A327">
            <v>326</v>
          </cell>
          <cell r="B327" t="str">
            <v>VARILLA REDONDA LISA (Laminado)</v>
          </cell>
          <cell r="C327" t="str">
            <v>VAR. BRL 12</v>
          </cell>
          <cell r="D327">
            <v>0.88833333333333331</v>
          </cell>
          <cell r="E327">
            <v>0.88833333333333331</v>
          </cell>
          <cell r="F327">
            <v>12</v>
          </cell>
          <cell r="K327">
            <v>37.699079999999995</v>
          </cell>
          <cell r="L327">
            <v>112.99999999999999</v>
          </cell>
          <cell r="M327" t="str">
            <v>12.75.40.080.00</v>
          </cell>
          <cell r="O327" t="str">
            <v>A36</v>
          </cell>
          <cell r="P327" t="str">
            <v>S</v>
          </cell>
        </row>
        <row r="328">
          <cell r="A328">
            <v>327</v>
          </cell>
          <cell r="B328" t="str">
            <v>VARILLA REDONDA LISA (Laminado)</v>
          </cell>
          <cell r="C328" t="str">
            <v>VAR. BRL 15</v>
          </cell>
          <cell r="D328">
            <v>1.3866666666666667</v>
          </cell>
          <cell r="E328">
            <v>1.3866666666666667</v>
          </cell>
          <cell r="F328">
            <v>15</v>
          </cell>
          <cell r="K328">
            <v>47.123849999999997</v>
          </cell>
          <cell r="L328">
            <v>177</v>
          </cell>
          <cell r="M328" t="str">
            <v>12.75.40.100.00</v>
          </cell>
          <cell r="O328" t="str">
            <v>A36</v>
          </cell>
          <cell r="P328" t="str">
            <v>S</v>
          </cell>
        </row>
        <row r="329">
          <cell r="A329">
            <v>328</v>
          </cell>
          <cell r="B329" t="str">
            <v>VARILLA REDONDA LISA (Laminado)</v>
          </cell>
          <cell r="C329" t="str">
            <v>VAR. BRL 18</v>
          </cell>
          <cell r="D329">
            <v>1.9966666666666668</v>
          </cell>
          <cell r="E329">
            <v>1.9966666666666668</v>
          </cell>
          <cell r="F329">
            <v>18</v>
          </cell>
          <cell r="K329">
            <v>56.54862</v>
          </cell>
          <cell r="L329">
            <v>254.99999999999997</v>
          </cell>
          <cell r="M329" t="str">
            <v>12.75.40.120.00</v>
          </cell>
          <cell r="O329" t="str">
            <v>A36</v>
          </cell>
          <cell r="P329" t="str">
            <v>N</v>
          </cell>
        </row>
        <row r="330">
          <cell r="A330">
            <v>329</v>
          </cell>
          <cell r="B330" t="str">
            <v>VARILLA REDONDA LISA (Laminado)</v>
          </cell>
          <cell r="C330" t="str">
            <v>VAR. BRL 20</v>
          </cell>
          <cell r="D330">
            <v>2.4659999999999997</v>
          </cell>
          <cell r="E330">
            <v>2.4659999999999997</v>
          </cell>
          <cell r="F330">
            <v>20</v>
          </cell>
          <cell r="K330">
            <v>62.831800000000001</v>
          </cell>
          <cell r="L330">
            <v>314.15999999999997</v>
          </cell>
          <cell r="M330" t="str">
            <v>12.75.40.130.00</v>
          </cell>
          <cell r="O330" t="str">
            <v>A36</v>
          </cell>
          <cell r="P330" t="str">
            <v>N</v>
          </cell>
        </row>
        <row r="331">
          <cell r="A331">
            <v>330</v>
          </cell>
          <cell r="B331" t="str">
            <v>VARILLA REDONDA LISA (Laminado)</v>
          </cell>
          <cell r="C331" t="str">
            <v>VAR. BRL 22</v>
          </cell>
          <cell r="D331">
            <v>2.9833333333333329</v>
          </cell>
          <cell r="E331">
            <v>2.9833333333333329</v>
          </cell>
          <cell r="F331">
            <v>22</v>
          </cell>
          <cell r="K331">
            <v>69.114980000000003</v>
          </cell>
          <cell r="L331">
            <v>380</v>
          </cell>
          <cell r="M331" t="str">
            <v>12.75.40.140.00</v>
          </cell>
          <cell r="O331" t="str">
            <v>A36</v>
          </cell>
          <cell r="P331" t="str">
            <v>N</v>
          </cell>
        </row>
        <row r="332">
          <cell r="A332">
            <v>331</v>
          </cell>
          <cell r="B332" t="str">
            <v>VARILLA REDONDA LISA (Laminado)</v>
          </cell>
          <cell r="C332" t="str">
            <v>VAR. BRL 24.5</v>
          </cell>
          <cell r="D332">
            <v>3.6999999999999997</v>
          </cell>
          <cell r="E332">
            <v>3.6999999999999997</v>
          </cell>
          <cell r="F332">
            <v>24.5</v>
          </cell>
          <cell r="K332">
            <v>76.968954999999994</v>
          </cell>
          <cell r="L332">
            <v>471</v>
          </cell>
          <cell r="O332" t="str">
            <v>A36</v>
          </cell>
          <cell r="P332" t="str">
            <v>N</v>
          </cell>
        </row>
        <row r="333">
          <cell r="A333">
            <v>332</v>
          </cell>
          <cell r="B333" t="str">
            <v>VARILLA REDONDA CORRUGADA (Laminado)</v>
          </cell>
          <cell r="C333" t="str">
            <v>VAR. BRC 8</v>
          </cell>
          <cell r="D333">
            <v>0.39500000000000002</v>
          </cell>
          <cell r="E333">
            <v>0.39500000000000002</v>
          </cell>
          <cell r="F333">
            <v>8</v>
          </cell>
          <cell r="K333">
            <v>25.132719999999999</v>
          </cell>
          <cell r="L333">
            <v>50.265599999999999</v>
          </cell>
          <cell r="M333" t="str">
            <v>12.75.20.040.00</v>
          </cell>
          <cell r="O333" t="str">
            <v>A706</v>
          </cell>
          <cell r="P333" t="str">
            <v>S</v>
          </cell>
        </row>
        <row r="334">
          <cell r="A334">
            <v>333</v>
          </cell>
          <cell r="B334" t="str">
            <v>VARILLA REDONDA CORRUGADA (Laminado)</v>
          </cell>
          <cell r="C334" t="str">
            <v>VAR. BRC 10</v>
          </cell>
          <cell r="D334">
            <v>0.61699999999999999</v>
          </cell>
          <cell r="E334">
            <v>0.61699999999999999</v>
          </cell>
          <cell r="F334">
            <v>10</v>
          </cell>
          <cell r="K334">
            <v>31.415900000000001</v>
          </cell>
          <cell r="L334">
            <v>78.539999999999992</v>
          </cell>
          <cell r="M334" t="str">
            <v>12.75.20.070.00</v>
          </cell>
          <cell r="O334" t="str">
            <v>A706</v>
          </cell>
          <cell r="P334" t="str">
            <v>S</v>
          </cell>
        </row>
        <row r="335">
          <cell r="A335">
            <v>334</v>
          </cell>
          <cell r="B335" t="str">
            <v>VARILLA REDONDA CORRUGADA (Laminado)</v>
          </cell>
          <cell r="C335" t="str">
            <v>VAR. BRC 12</v>
          </cell>
          <cell r="D335">
            <v>0.88800000000000001</v>
          </cell>
          <cell r="E335">
            <v>0.88800000000000001</v>
          </cell>
          <cell r="F335">
            <v>12</v>
          </cell>
          <cell r="K335">
            <v>37.699079999999995</v>
          </cell>
          <cell r="L335">
            <v>113.0976</v>
          </cell>
          <cell r="M335" t="str">
            <v>12.75.20.080.00</v>
          </cell>
          <cell r="O335" t="str">
            <v>A706</v>
          </cell>
          <cell r="P335" t="str">
            <v>S</v>
          </cell>
        </row>
        <row r="336">
          <cell r="A336">
            <v>335</v>
          </cell>
          <cell r="B336" t="str">
            <v>VARILLA REDONDA CORRUGADA (Laminado)</v>
          </cell>
          <cell r="C336" t="str">
            <v>VAR. BRC 14</v>
          </cell>
          <cell r="D336">
            <v>1.208</v>
          </cell>
          <cell r="E336">
            <v>1.208</v>
          </cell>
          <cell r="F336">
            <v>14</v>
          </cell>
          <cell r="K336">
            <v>43.982259999999997</v>
          </cell>
          <cell r="L336">
            <v>153.9384</v>
          </cell>
          <cell r="M336" t="str">
            <v>12.75.20.090.00</v>
          </cell>
          <cell r="O336" t="str">
            <v>A706</v>
          </cell>
          <cell r="P336" t="str">
            <v>S</v>
          </cell>
        </row>
        <row r="337">
          <cell r="A337">
            <v>336</v>
          </cell>
          <cell r="B337" t="str">
            <v>VARILLA REDONDA CORRUGADA (Laminado)</v>
          </cell>
          <cell r="C337" t="str">
            <v>VAR. BRC 16</v>
          </cell>
          <cell r="D337">
            <v>1.5780000000000001</v>
          </cell>
          <cell r="E337">
            <v>1.5780000000000001</v>
          </cell>
          <cell r="F337">
            <v>16</v>
          </cell>
          <cell r="K337">
            <v>50.265439999999998</v>
          </cell>
          <cell r="L337">
            <v>201.0624</v>
          </cell>
          <cell r="M337" t="str">
            <v>12.75.20.110.00</v>
          </cell>
          <cell r="O337" t="str">
            <v>A706</v>
          </cell>
          <cell r="P337" t="str">
            <v>S</v>
          </cell>
        </row>
        <row r="338">
          <cell r="A338">
            <v>337</v>
          </cell>
          <cell r="B338" t="str">
            <v>VARILLA REDONDA CORRUGADA (Laminado)</v>
          </cell>
          <cell r="C338" t="str">
            <v>VAR. BRC 18</v>
          </cell>
          <cell r="D338">
            <v>1.998</v>
          </cell>
          <cell r="E338">
            <v>1.998</v>
          </cell>
          <cell r="F338">
            <v>18</v>
          </cell>
          <cell r="K338">
            <v>56.54862</v>
          </cell>
          <cell r="L338">
            <v>254.46959999999999</v>
          </cell>
          <cell r="M338" t="str">
            <v>12.75.20.120.00</v>
          </cell>
          <cell r="O338" t="str">
            <v>A706</v>
          </cell>
          <cell r="P338" t="str">
            <v>S</v>
          </cell>
        </row>
        <row r="339">
          <cell r="A339">
            <v>338</v>
          </cell>
          <cell r="B339" t="str">
            <v>VARILLA REDONDA CORRUGADA (Laminado)</v>
          </cell>
          <cell r="C339" t="str">
            <v>VAR. BRC 20</v>
          </cell>
          <cell r="D339">
            <v>2.4660000000000002</v>
          </cell>
          <cell r="E339">
            <v>2.4660000000000002</v>
          </cell>
          <cell r="F339">
            <v>20</v>
          </cell>
          <cell r="K339">
            <v>62.831800000000001</v>
          </cell>
          <cell r="L339">
            <v>314.15999999999997</v>
          </cell>
          <cell r="M339" t="str">
            <v>12.75.20.130.00</v>
          </cell>
          <cell r="O339" t="str">
            <v>A706</v>
          </cell>
          <cell r="P339" t="str">
            <v>S</v>
          </cell>
        </row>
        <row r="340">
          <cell r="A340">
            <v>339</v>
          </cell>
          <cell r="B340" t="str">
            <v>VARILLA REDONDA CORRUGADA (Laminado)</v>
          </cell>
          <cell r="C340" t="str">
            <v>VAR. BRC 22</v>
          </cell>
          <cell r="D340">
            <v>2.984</v>
          </cell>
          <cell r="E340">
            <v>2.984</v>
          </cell>
          <cell r="F340">
            <v>22</v>
          </cell>
          <cell r="K340">
            <v>69.114980000000003</v>
          </cell>
          <cell r="L340">
            <v>380.1336</v>
          </cell>
          <cell r="M340" t="str">
            <v>12.75.20.140.00</v>
          </cell>
          <cell r="O340" t="str">
            <v>A706</v>
          </cell>
          <cell r="P340" t="str">
            <v>S</v>
          </cell>
        </row>
        <row r="341">
          <cell r="A341">
            <v>340</v>
          </cell>
          <cell r="B341" t="str">
            <v>VARILLA REDONDA CORRUGADA (Laminado)</v>
          </cell>
          <cell r="C341" t="str">
            <v>VAR. BRC 25</v>
          </cell>
          <cell r="D341">
            <v>3.8530000000000002</v>
          </cell>
          <cell r="E341">
            <v>3.8530000000000002</v>
          </cell>
          <cell r="F341">
            <v>25</v>
          </cell>
          <cell r="K341">
            <v>78.539749999999998</v>
          </cell>
          <cell r="L341">
            <v>490.875</v>
          </cell>
          <cell r="M341" t="str">
            <v>12.75.20.160.00</v>
          </cell>
          <cell r="O341" t="str">
            <v>A706</v>
          </cell>
          <cell r="P341" t="str">
            <v>S</v>
          </cell>
        </row>
        <row r="342">
          <cell r="A342">
            <v>341</v>
          </cell>
          <cell r="B342" t="str">
            <v>VARILLA REDONDA CORRUGADA (Laminado)</v>
          </cell>
          <cell r="C342" t="str">
            <v>VAR. BRC 28</v>
          </cell>
          <cell r="D342">
            <v>4.8339999999999996</v>
          </cell>
          <cell r="E342">
            <v>4.8339999999999996</v>
          </cell>
          <cell r="F342">
            <v>28</v>
          </cell>
          <cell r="K342">
            <v>87.964519999999993</v>
          </cell>
          <cell r="L342">
            <v>615.75360000000001</v>
          </cell>
          <cell r="M342" t="str">
            <v>12.75.20.170.00</v>
          </cell>
          <cell r="O342" t="str">
            <v>A706</v>
          </cell>
          <cell r="P342" t="str">
            <v>S</v>
          </cell>
        </row>
        <row r="343">
          <cell r="A343">
            <v>342</v>
          </cell>
          <cell r="B343" t="str">
            <v>VARILLA REDONDA CORRUGADA (Laminado)</v>
          </cell>
          <cell r="C343" t="str">
            <v>VAR. BRC 32</v>
          </cell>
          <cell r="D343">
            <v>6.3129999999999997</v>
          </cell>
          <cell r="E343">
            <v>6.3129999999999997</v>
          </cell>
          <cell r="F343">
            <v>32</v>
          </cell>
          <cell r="K343">
            <v>100.53088</v>
          </cell>
          <cell r="L343">
            <v>804.24959999999999</v>
          </cell>
          <cell r="M343" t="str">
            <v>12.75.20.190.00</v>
          </cell>
          <cell r="O343" t="str">
            <v>A706</v>
          </cell>
          <cell r="P343" t="str">
            <v>S</v>
          </cell>
        </row>
        <row r="344">
          <cell r="A344">
            <v>343</v>
          </cell>
          <cell r="B344" t="str">
            <v>EJE DE TRANSMISIÓN SAE 1018</v>
          </cell>
          <cell r="C344" t="str">
            <v>EJE SAE 1018 ø 1/4"</v>
          </cell>
          <cell r="D344">
            <v>0.24860393827499996</v>
          </cell>
          <cell r="E344">
            <v>0.24860393827499996</v>
          </cell>
          <cell r="F344">
            <v>6.35</v>
          </cell>
          <cell r="K344">
            <v>19.9490965</v>
          </cell>
          <cell r="L344">
            <v>31.669291499999996</v>
          </cell>
          <cell r="M344" t="str">
            <v>12.14.30.010.00</v>
          </cell>
          <cell r="O344" t="str">
            <v>SAE 1018</v>
          </cell>
          <cell r="P344" t="str">
            <v>N</v>
          </cell>
        </row>
        <row r="345">
          <cell r="A345">
            <v>344</v>
          </cell>
          <cell r="B345" t="str">
            <v>EJE DE TRANSMISIÓN SAE 1018</v>
          </cell>
          <cell r="C345" t="str">
            <v>EJE SAE 1018 ø 5/16"</v>
          </cell>
          <cell r="D345">
            <v>0.38844365355468746</v>
          </cell>
          <cell r="E345">
            <v>0.38844365355468746</v>
          </cell>
          <cell r="F345">
            <v>7.9375</v>
          </cell>
          <cell r="K345">
            <v>24.936370624999999</v>
          </cell>
          <cell r="L345">
            <v>49.483267968749999</v>
          </cell>
          <cell r="M345" t="str">
            <v>12.14.30.020.0</v>
          </cell>
          <cell r="O345" t="str">
            <v>SAE 1018</v>
          </cell>
          <cell r="P345" t="str">
            <v>N</v>
          </cell>
        </row>
        <row r="346">
          <cell r="A346">
            <v>345</v>
          </cell>
          <cell r="B346" t="str">
            <v>EJE DE TRANSMISIÓN SAE 1018</v>
          </cell>
          <cell r="C346" t="str">
            <v>EJE SAE 1018 ø 3/8"</v>
          </cell>
          <cell r="D346">
            <v>0.55935886111874977</v>
          </cell>
          <cell r="E346">
            <v>0.55935886111874977</v>
          </cell>
          <cell r="F346">
            <v>9.5249999999999986</v>
          </cell>
          <cell r="K346">
            <v>29.923644749999994</v>
          </cell>
          <cell r="L346">
            <v>71.255905874999982</v>
          </cell>
          <cell r="M346" t="str">
            <v>12.14.30.030.00</v>
          </cell>
          <cell r="N346">
            <v>6000</v>
          </cell>
          <cell r="O346" t="str">
            <v>SAE 1018</v>
          </cell>
          <cell r="P346" t="str">
            <v>N</v>
          </cell>
        </row>
        <row r="347">
          <cell r="A347">
            <v>346</v>
          </cell>
          <cell r="B347" t="str">
            <v>EJE DE TRANSMISIÓN SAE 1018</v>
          </cell>
          <cell r="C347" t="str">
            <v>EJE SAE 1018 ø 1/2"</v>
          </cell>
          <cell r="D347">
            <v>0.99441575309999986</v>
          </cell>
          <cell r="E347">
            <v>0.99441575309999986</v>
          </cell>
          <cell r="F347">
            <v>12.7</v>
          </cell>
          <cell r="K347">
            <v>39.898192999999999</v>
          </cell>
          <cell r="L347">
            <v>126.67716599999999</v>
          </cell>
          <cell r="M347" t="str">
            <v>12.14.30.040.01</v>
          </cell>
          <cell r="N347">
            <v>5800</v>
          </cell>
          <cell r="O347" t="str">
            <v>SAE 1018</v>
          </cell>
          <cell r="P347" t="str">
            <v>S</v>
          </cell>
        </row>
        <row r="348">
          <cell r="A348">
            <v>347</v>
          </cell>
          <cell r="B348" t="str">
            <v>EJE DE TRANSMISIÓN SAE 1018</v>
          </cell>
          <cell r="C348" t="str">
            <v>EJE SAE 1018 ø 9/16"</v>
          </cell>
          <cell r="D348">
            <v>0.99441575309999986</v>
          </cell>
          <cell r="E348">
            <v>0.99441575309999986</v>
          </cell>
          <cell r="F348">
            <v>12.7</v>
          </cell>
          <cell r="K348">
            <v>39.898192999999999</v>
          </cell>
          <cell r="L348">
            <v>126.67716599999999</v>
          </cell>
          <cell r="O348" t="str">
            <v>SAE 1018</v>
          </cell>
          <cell r="P348" t="str">
            <v>S</v>
          </cell>
        </row>
        <row r="349">
          <cell r="A349">
            <v>348</v>
          </cell>
          <cell r="B349" t="str">
            <v>EJE DE TRANSMISIÓN SAE 1018</v>
          </cell>
          <cell r="C349" t="str">
            <v>EJE SAE 1018 ø 5/8"</v>
          </cell>
          <cell r="D349">
            <v>1.5537746142187498</v>
          </cell>
          <cell r="E349">
            <v>1.5537746142187498</v>
          </cell>
          <cell r="F349">
            <v>15.875</v>
          </cell>
          <cell r="K349">
            <v>49.872741249999997</v>
          </cell>
          <cell r="L349">
            <v>197.933071875</v>
          </cell>
          <cell r="M349" t="str">
            <v>12.14.30.060.03</v>
          </cell>
          <cell r="N349">
            <v>5750</v>
          </cell>
          <cell r="O349" t="str">
            <v>SAE 1018</v>
          </cell>
          <cell r="P349" t="str">
            <v>S</v>
          </cell>
        </row>
        <row r="350">
          <cell r="A350">
            <v>349</v>
          </cell>
          <cell r="B350" t="str">
            <v>EJE DE TRANSMISIÓN SAE 1018</v>
          </cell>
          <cell r="C350" t="str">
            <v>EJE SAE 1018 ø 3/4"</v>
          </cell>
          <cell r="D350">
            <v>2.2374354444749991</v>
          </cell>
          <cell r="E350">
            <v>2.2374354444749991</v>
          </cell>
          <cell r="F350">
            <v>19.049999999999997</v>
          </cell>
          <cell r="K350">
            <v>59.847289499999988</v>
          </cell>
          <cell r="L350">
            <v>285.02362349999993</v>
          </cell>
          <cell r="M350" t="str">
            <v>12.14.30.070.01</v>
          </cell>
          <cell r="N350">
            <v>5800</v>
          </cell>
          <cell r="O350" t="str">
            <v>SAE 1018</v>
          </cell>
          <cell r="P350" t="str">
            <v>S</v>
          </cell>
        </row>
        <row r="351">
          <cell r="A351">
            <v>350</v>
          </cell>
          <cell r="B351" t="str">
            <v>EJE DE TRANSMISIÓN SAE 1018</v>
          </cell>
          <cell r="C351" t="str">
            <v>EJE SAE 1018 ø 7/8"</v>
          </cell>
          <cell r="D351">
            <v>3.0453982438687492</v>
          </cell>
          <cell r="E351">
            <v>3.0453982438687492</v>
          </cell>
          <cell r="F351">
            <v>22.224999999999998</v>
          </cell>
          <cell r="K351">
            <v>69.821837749999986</v>
          </cell>
          <cell r="L351">
            <v>387.94882087499991</v>
          </cell>
          <cell r="M351" t="str">
            <v>12.14.30.080.00</v>
          </cell>
          <cell r="N351">
            <v>6000</v>
          </cell>
          <cell r="O351" t="str">
            <v>SAE 1018</v>
          </cell>
          <cell r="P351" t="str">
            <v>S</v>
          </cell>
        </row>
        <row r="352">
          <cell r="A352">
            <v>351</v>
          </cell>
          <cell r="B352" t="str">
            <v>EJE DE TRANSMISIÓN SAE 1018</v>
          </cell>
          <cell r="C352" t="str">
            <v>EJE SAE 1018 ø 1"</v>
          </cell>
          <cell r="D352">
            <v>3.9776630123999994</v>
          </cell>
          <cell r="E352">
            <v>3.9776630123999994</v>
          </cell>
          <cell r="F352">
            <v>25.4</v>
          </cell>
          <cell r="K352">
            <v>79.796385999999998</v>
          </cell>
          <cell r="L352">
            <v>506.70866399999994</v>
          </cell>
          <cell r="M352" t="str">
            <v>12.14.30.090.01</v>
          </cell>
          <cell r="N352">
            <v>5800</v>
          </cell>
          <cell r="O352" t="str">
            <v>SAE 1018</v>
          </cell>
          <cell r="P352" t="str">
            <v>S</v>
          </cell>
        </row>
        <row r="353">
          <cell r="A353">
            <v>352</v>
          </cell>
          <cell r="B353" t="str">
            <v>EJE DE TRANSMISIÓN SAE 1018</v>
          </cell>
          <cell r="C353" t="str">
            <v>EJE SAE 1018 ø 1 1/8"</v>
          </cell>
          <cell r="D353">
            <v>5.0342297500687501</v>
          </cell>
          <cell r="E353">
            <v>5.0342297500687501</v>
          </cell>
          <cell r="F353">
            <v>28.574999999999999</v>
          </cell>
          <cell r="K353">
            <v>89.770934249999996</v>
          </cell>
          <cell r="L353">
            <v>641.30315287500002</v>
          </cell>
          <cell r="M353" t="str">
            <v>12.14.30.100.01</v>
          </cell>
          <cell r="N353">
            <v>5800</v>
          </cell>
          <cell r="O353" t="str">
            <v>SAE 1018</v>
          </cell>
          <cell r="P353" t="str">
            <v>S</v>
          </cell>
        </row>
        <row r="354">
          <cell r="A354">
            <v>353</v>
          </cell>
          <cell r="B354" t="str">
            <v>EJE DE TRANSMISIÓN SAE 1018</v>
          </cell>
          <cell r="C354" t="str">
            <v>EJE SAE 1018 ø 1 1/4"</v>
          </cell>
          <cell r="D354">
            <v>6.2150984568749994</v>
          </cell>
          <cell r="E354">
            <v>6.2150984568749994</v>
          </cell>
          <cell r="F354">
            <v>31.75</v>
          </cell>
          <cell r="K354">
            <v>99.745482499999994</v>
          </cell>
          <cell r="L354">
            <v>791.73228749999998</v>
          </cell>
          <cell r="M354" t="str">
            <v>12.14.30.110.01</v>
          </cell>
          <cell r="N354">
            <v>5800</v>
          </cell>
          <cell r="O354" t="str">
            <v>SAE 1018</v>
          </cell>
          <cell r="P354" t="str">
            <v>S</v>
          </cell>
        </row>
        <row r="355">
          <cell r="A355">
            <v>354</v>
          </cell>
          <cell r="B355" t="str">
            <v>EJE DE TRANSMISIÓN SAE 1018</v>
          </cell>
          <cell r="C355" t="str">
            <v>EJE SAE 1018 ø 1 3/8"</v>
          </cell>
          <cell r="D355">
            <v>7.5202691328187479</v>
          </cell>
          <cell r="E355">
            <v>7.5202691328187479</v>
          </cell>
          <cell r="F355">
            <v>34.924999999999997</v>
          </cell>
          <cell r="K355">
            <v>109.72003074999999</v>
          </cell>
          <cell r="L355">
            <v>957.99606787499977</v>
          </cell>
          <cell r="M355" t="str">
            <v>12.14.30.120.00</v>
          </cell>
          <cell r="N355">
            <v>6000</v>
          </cell>
          <cell r="O355" t="str">
            <v>SAE 1018</v>
          </cell>
          <cell r="P355" t="str">
            <v>N</v>
          </cell>
        </row>
        <row r="356">
          <cell r="A356">
            <v>355</v>
          </cell>
          <cell r="B356" t="str">
            <v>EJE DE TRANSMISIÓN SAE 1018</v>
          </cell>
          <cell r="C356" t="str">
            <v>EJE SAE 1018 ø 1 1/2"</v>
          </cell>
          <cell r="D356">
            <v>8.9497417778999964</v>
          </cell>
          <cell r="E356">
            <v>8.9497417778999964</v>
          </cell>
          <cell r="F356">
            <v>38.099999999999994</v>
          </cell>
          <cell r="K356">
            <v>119.69457899999998</v>
          </cell>
          <cell r="L356">
            <v>1140.0944939999997</v>
          </cell>
          <cell r="M356" t="str">
            <v>12.14.30.130.01</v>
          </cell>
          <cell r="N356">
            <v>5800</v>
          </cell>
          <cell r="O356" t="str">
            <v>SAE 1018</v>
          </cell>
          <cell r="P356" t="str">
            <v>S</v>
          </cell>
        </row>
        <row r="357">
          <cell r="A357">
            <v>356</v>
          </cell>
          <cell r="B357" t="str">
            <v>EJE DE TRANSMISIÓN SAE 1018</v>
          </cell>
          <cell r="C357" t="str">
            <v>EJE SAE 1018 ø 1 3/4"</v>
          </cell>
          <cell r="D357">
            <v>12.181592975474997</v>
          </cell>
          <cell r="E357">
            <v>12.181592975474997</v>
          </cell>
          <cell r="F357">
            <v>44.449999999999996</v>
          </cell>
          <cell r="K357">
            <v>139.64367549999997</v>
          </cell>
          <cell r="L357">
            <v>1551.7952834999996</v>
          </cell>
          <cell r="M357" t="str">
            <v>12.14.30.140.0</v>
          </cell>
          <cell r="O357" t="str">
            <v>SAE 1018</v>
          </cell>
          <cell r="P357" t="str">
            <v>N</v>
          </cell>
        </row>
        <row r="358">
          <cell r="A358">
            <v>357</v>
          </cell>
          <cell r="B358" t="str">
            <v>EJE DE TRANSMISIÓN SAE 1018</v>
          </cell>
          <cell r="C358" t="str">
            <v>EJE SAE 1018 ø 2"</v>
          </cell>
          <cell r="D358">
            <v>15.910652049599998</v>
          </cell>
          <cell r="E358">
            <v>15.910652049599998</v>
          </cell>
          <cell r="F358">
            <v>50.8</v>
          </cell>
          <cell r="K358">
            <v>159.592772</v>
          </cell>
          <cell r="L358">
            <v>2026.8346559999998</v>
          </cell>
          <cell r="M358" t="str">
            <v>12.14.30.150.00</v>
          </cell>
          <cell r="O358" t="str">
            <v>SAE 1018</v>
          </cell>
          <cell r="P358" t="str">
            <v>N</v>
          </cell>
        </row>
        <row r="359">
          <cell r="A359">
            <v>358</v>
          </cell>
          <cell r="B359" t="str">
            <v>EJE DE TRANSMISIÓN SAE 1018</v>
          </cell>
          <cell r="C359" t="str">
            <v>EJE SAE 1018 ø 2 1/4"</v>
          </cell>
          <cell r="D359">
            <v>20.136919000275</v>
          </cell>
          <cell r="E359">
            <v>20.136919000275</v>
          </cell>
          <cell r="F359">
            <v>57.15</v>
          </cell>
          <cell r="K359">
            <v>179.54186849999999</v>
          </cell>
          <cell r="L359">
            <v>2565.2126115000001</v>
          </cell>
          <cell r="M359" t="str">
            <v>12.14.30.170.0</v>
          </cell>
          <cell r="O359" t="str">
            <v>SAE 1018</v>
          </cell>
          <cell r="P359" t="str">
            <v>N</v>
          </cell>
        </row>
        <row r="360">
          <cell r="A360">
            <v>359</v>
          </cell>
          <cell r="B360" t="str">
            <v>EJE DE TRANSMISIÓN SAE 1018</v>
          </cell>
          <cell r="C360" t="str">
            <v>EJE SAE 1018 ø 2 1/2"</v>
          </cell>
          <cell r="D360">
            <v>24.860393827499998</v>
          </cell>
          <cell r="E360">
            <v>24.860393827499998</v>
          </cell>
          <cell r="F360">
            <v>63.5</v>
          </cell>
          <cell r="K360">
            <v>199.49096499999999</v>
          </cell>
          <cell r="L360">
            <v>3166.9291499999999</v>
          </cell>
          <cell r="M360" t="str">
            <v>12.14.30.160.0</v>
          </cell>
          <cell r="O360" t="str">
            <v>SAE 1018</v>
          </cell>
          <cell r="P360" t="str">
            <v>N</v>
          </cell>
        </row>
        <row r="361">
          <cell r="A361">
            <v>360</v>
          </cell>
          <cell r="B361" t="str">
            <v>EJE DE TRANSMISIÓN SAE 1018</v>
          </cell>
          <cell r="C361" t="str">
            <v>EJE SAE 1018 ø 2 3/4"</v>
          </cell>
          <cell r="D361">
            <v>30.081076531274991</v>
          </cell>
          <cell r="E361">
            <v>30.081076531274991</v>
          </cell>
          <cell r="F361">
            <v>69.849999999999994</v>
          </cell>
          <cell r="K361">
            <v>219.44006149999998</v>
          </cell>
          <cell r="L361">
            <v>3831.9842714999991</v>
          </cell>
          <cell r="O361" t="str">
            <v>SAE 1018</v>
          </cell>
          <cell r="P361" t="str">
            <v>N</v>
          </cell>
        </row>
        <row r="362">
          <cell r="A362">
            <v>361</v>
          </cell>
          <cell r="B362" t="str">
            <v>EJE DE TRANSMISIÓN SAE 1018</v>
          </cell>
          <cell r="C362" t="str">
            <v>EJE SAE 1018 ø 3"</v>
          </cell>
          <cell r="D362">
            <v>35.798967111599985</v>
          </cell>
          <cell r="E362">
            <v>35.798967111599985</v>
          </cell>
          <cell r="F362">
            <v>76.199999999999989</v>
          </cell>
          <cell r="K362">
            <v>239.38915799999995</v>
          </cell>
          <cell r="L362">
            <v>4560.3779759999989</v>
          </cell>
          <cell r="O362" t="str">
            <v>SAE 1018</v>
          </cell>
          <cell r="P362" t="str">
            <v>N</v>
          </cell>
        </row>
        <row r="363">
          <cell r="A363">
            <v>362</v>
          </cell>
          <cell r="B363" t="str">
            <v>EJE DE TRANSMISIÓN SAE 1018</v>
          </cell>
          <cell r="C363" t="str">
            <v>EJE SAE 1018 ø 3 1/4"</v>
          </cell>
          <cell r="D363">
            <v>42.014065568474997</v>
          </cell>
          <cell r="E363">
            <v>42.014065568474997</v>
          </cell>
          <cell r="F363">
            <v>82.55</v>
          </cell>
          <cell r="K363">
            <v>259.33825450000001</v>
          </cell>
          <cell r="L363">
            <v>5352.1102634999997</v>
          </cell>
          <cell r="M363" t="str">
            <v>12.14.30.200.00</v>
          </cell>
          <cell r="N363">
            <v>6000</v>
          </cell>
          <cell r="O363" t="str">
            <v>SAE 1018</v>
          </cell>
          <cell r="P363" t="str">
            <v>N</v>
          </cell>
        </row>
        <row r="364">
          <cell r="A364">
            <v>363</v>
          </cell>
          <cell r="B364" t="str">
            <v>EJE DE TRANSMISIÓN SAE 1018</v>
          </cell>
          <cell r="C364" t="str">
            <v>EJE SAE 1018 ø 3 1/2"</v>
          </cell>
          <cell r="D364">
            <v>48.726371901899988</v>
          </cell>
          <cell r="E364">
            <v>48.726371901899988</v>
          </cell>
          <cell r="F364">
            <v>88.899999999999991</v>
          </cell>
          <cell r="K364">
            <v>279.28735099999994</v>
          </cell>
          <cell r="L364">
            <v>6207.1811339999986</v>
          </cell>
          <cell r="O364" t="str">
            <v>SAE 1018</v>
          </cell>
          <cell r="P364" t="str">
            <v>N</v>
          </cell>
        </row>
        <row r="365">
          <cell r="A365">
            <v>364</v>
          </cell>
          <cell r="B365" t="str">
            <v>EJE DE TRANSMISIÓN SAE 1018</v>
          </cell>
          <cell r="C365" t="str">
            <v>EJE SAE 1018 ø 3 3/4"</v>
          </cell>
          <cell r="D365">
            <v>55.935886111874993</v>
          </cell>
          <cell r="E365">
            <v>55.935886111874993</v>
          </cell>
          <cell r="F365">
            <v>95.25</v>
          </cell>
          <cell r="K365">
            <v>299.2364475</v>
          </cell>
          <cell r="L365">
            <v>7125.5905874999999</v>
          </cell>
          <cell r="O365" t="str">
            <v>SAE 1018</v>
          </cell>
          <cell r="P365" t="str">
            <v>N</v>
          </cell>
        </row>
        <row r="366">
          <cell r="A366">
            <v>365</v>
          </cell>
          <cell r="B366" t="str">
            <v>EJE DE TRANSMISIÓN SAE 1018</v>
          </cell>
          <cell r="C366" t="str">
            <v>EJE SAE 1018 ø 4"</v>
          </cell>
          <cell r="D366">
            <v>63.642608198399991</v>
          </cell>
          <cell r="E366">
            <v>63.642608198399991</v>
          </cell>
          <cell r="F366">
            <v>101.6</v>
          </cell>
          <cell r="K366">
            <v>319.18554399999999</v>
          </cell>
          <cell r="L366">
            <v>8107.3386239999991</v>
          </cell>
          <cell r="O366" t="str">
            <v>SAE 1018</v>
          </cell>
          <cell r="P366" t="str">
            <v>N</v>
          </cell>
        </row>
        <row r="367">
          <cell r="A367">
            <v>366</v>
          </cell>
          <cell r="B367" t="str">
            <v>EJE DE TRANSMISIÓN SAE 1018</v>
          </cell>
          <cell r="C367" t="str">
            <v>EJE SAE 1018 ø 4 1/2"</v>
          </cell>
          <cell r="D367">
            <v>80.547676001100001</v>
          </cell>
          <cell r="E367">
            <v>80.547676001100001</v>
          </cell>
          <cell r="F367">
            <v>114.3</v>
          </cell>
          <cell r="K367">
            <v>359.08373699999999</v>
          </cell>
          <cell r="L367">
            <v>10260.850446</v>
          </cell>
          <cell r="O367" t="str">
            <v>SAE 1018</v>
          </cell>
          <cell r="P367" t="str">
            <v>N</v>
          </cell>
        </row>
        <row r="368">
          <cell r="A368">
            <v>367</v>
          </cell>
          <cell r="B368" t="str">
            <v>EJE DE TRANSMISIÓN SAE 1018</v>
          </cell>
          <cell r="C368" t="str">
            <v>EJE SAE 1018 ø 5"</v>
          </cell>
          <cell r="D368">
            <v>99.44157530999999</v>
          </cell>
          <cell r="E368">
            <v>99.44157530999999</v>
          </cell>
          <cell r="F368">
            <v>127</v>
          </cell>
          <cell r="K368">
            <v>398.98192999999998</v>
          </cell>
          <cell r="L368">
            <v>12667.7166</v>
          </cell>
          <cell r="O368" t="str">
            <v>SAE 1018</v>
          </cell>
          <cell r="P368" t="str">
            <v>N</v>
          </cell>
        </row>
        <row r="369">
          <cell r="A369">
            <v>368</v>
          </cell>
          <cell r="B369" t="str">
            <v>EJE DE TRANSMISIÓN SAE 1018</v>
          </cell>
          <cell r="C369" t="str">
            <v>EJE SAE 1018 ø 5 1/2"</v>
          </cell>
          <cell r="D369">
            <v>120.32430612509997</v>
          </cell>
          <cell r="E369">
            <v>120.32430612509997</v>
          </cell>
          <cell r="F369">
            <v>139.69999999999999</v>
          </cell>
          <cell r="K369">
            <v>438.88012299999997</v>
          </cell>
          <cell r="L369">
            <v>15327.937085999996</v>
          </cell>
          <cell r="O369" t="str">
            <v>SAE 1018</v>
          </cell>
          <cell r="P369" t="str">
            <v>N</v>
          </cell>
        </row>
        <row r="370">
          <cell r="A370">
            <v>369</v>
          </cell>
          <cell r="B370" t="str">
            <v>EJE DE TRANSMISIÓN SAE 1018</v>
          </cell>
          <cell r="C370" t="str">
            <v>EJE SAE 1018 ø 6"</v>
          </cell>
          <cell r="D370">
            <v>143.19586844639994</v>
          </cell>
          <cell r="E370">
            <v>143.19586844639994</v>
          </cell>
          <cell r="F370">
            <v>152.39999999999998</v>
          </cell>
          <cell r="K370">
            <v>478.7783159999999</v>
          </cell>
          <cell r="L370">
            <v>18241.511903999995</v>
          </cell>
          <cell r="O370" t="str">
            <v>SAE 1018</v>
          </cell>
          <cell r="P370" t="str">
            <v>N</v>
          </cell>
        </row>
        <row r="371">
          <cell r="A371">
            <v>370</v>
          </cell>
          <cell r="B371" t="str">
            <v>EJE DE TRANSMISIÓN SAE 1018</v>
          </cell>
          <cell r="C371" t="str">
            <v>EJE SAE 1018 ø 7"</v>
          </cell>
          <cell r="D371">
            <v>194.90548760759995</v>
          </cell>
          <cell r="E371">
            <v>194.90548760759995</v>
          </cell>
          <cell r="F371">
            <v>177.79999999999998</v>
          </cell>
          <cell r="K371">
            <v>558.57470199999989</v>
          </cell>
          <cell r="L371">
            <v>24828.724535999994</v>
          </cell>
          <cell r="O371" t="str">
            <v>SAE 1018</v>
          </cell>
          <cell r="P371" t="str">
            <v>N</v>
          </cell>
        </row>
        <row r="372">
          <cell r="A372">
            <v>371</v>
          </cell>
          <cell r="B372" t="str">
            <v>EJE DE TRANSMISIÓN SAE 1018</v>
          </cell>
          <cell r="C372" t="str">
            <v>EJE SAE 1018 ø 8"</v>
          </cell>
          <cell r="D372">
            <v>254.57043279359996</v>
          </cell>
          <cell r="E372">
            <v>254.57043279359996</v>
          </cell>
          <cell r="F372">
            <v>203.2</v>
          </cell>
          <cell r="K372">
            <v>638.37108799999999</v>
          </cell>
          <cell r="L372">
            <v>32429.354495999996</v>
          </cell>
          <cell r="O372" t="str">
            <v>SAE 1018</v>
          </cell>
          <cell r="P372" t="str">
            <v>N</v>
          </cell>
        </row>
        <row r="373">
          <cell r="A373">
            <v>372</v>
          </cell>
          <cell r="B373" t="str">
            <v>EJE DE TRANSMISIÓN SAE 1018</v>
          </cell>
          <cell r="C373" t="str">
            <v>EJE SAE 1018 ø 9"</v>
          </cell>
          <cell r="D373">
            <v>322.1907040044</v>
          </cell>
          <cell r="E373">
            <v>322.1907040044</v>
          </cell>
          <cell r="F373">
            <v>228.6</v>
          </cell>
          <cell r="K373">
            <v>718.16747399999997</v>
          </cell>
          <cell r="L373">
            <v>41043.401784000001</v>
          </cell>
          <cell r="O373" t="str">
            <v>SAE 1018</v>
          </cell>
          <cell r="P373" t="str">
            <v>N</v>
          </cell>
        </row>
        <row r="374">
          <cell r="A374">
            <v>373</v>
          </cell>
          <cell r="B374" t="str">
            <v>EJE DE TRANSMISIÓN SAE 1018</v>
          </cell>
          <cell r="C374" t="str">
            <v>EJE SAE 1018 ø 10"</v>
          </cell>
          <cell r="D374">
            <v>397.76630123999996</v>
          </cell>
          <cell r="E374">
            <v>397.76630123999996</v>
          </cell>
          <cell r="F374">
            <v>254</v>
          </cell>
          <cell r="K374">
            <v>797.96385999999995</v>
          </cell>
          <cell r="L374">
            <v>50670.866399999999</v>
          </cell>
          <cell r="O374" t="str">
            <v>SAE 1018</v>
          </cell>
          <cell r="P374" t="str">
            <v>N</v>
          </cell>
        </row>
        <row r="375">
          <cell r="A375">
            <v>374</v>
          </cell>
          <cell r="B375" t="str">
            <v>PERFIL DOBLADO CORREA Z</v>
          </cell>
          <cell r="C375" t="str">
            <v>Correas Z 80x 40x 15x 2</v>
          </cell>
          <cell r="D375">
            <v>2.7</v>
          </cell>
          <cell r="E375">
            <v>2.7</v>
          </cell>
          <cell r="F375">
            <v>80</v>
          </cell>
          <cell r="G375">
            <v>40</v>
          </cell>
          <cell r="H375">
            <v>2</v>
          </cell>
          <cell r="J375">
            <v>15</v>
          </cell>
          <cell r="K375">
            <v>374</v>
          </cell>
          <cell r="L375">
            <v>348.38</v>
          </cell>
          <cell r="M375" t="str">
            <v>12.50.97.010.00</v>
          </cell>
          <cell r="O375" t="str">
            <v>A36</v>
          </cell>
          <cell r="P375" t="str">
            <v>N</v>
          </cell>
        </row>
        <row r="376">
          <cell r="A376">
            <v>375</v>
          </cell>
          <cell r="B376" t="str">
            <v>PERFIL DOBLADO CORREA Z</v>
          </cell>
          <cell r="C376" t="str">
            <v>Correas Z 80x 40x 15x 3</v>
          </cell>
          <cell r="D376">
            <v>4.01</v>
          </cell>
          <cell r="E376">
            <v>4.01</v>
          </cell>
          <cell r="F376">
            <v>80</v>
          </cell>
          <cell r="G376">
            <v>40</v>
          </cell>
          <cell r="H376">
            <v>3</v>
          </cell>
          <cell r="J376">
            <v>15</v>
          </cell>
          <cell r="K376">
            <v>371</v>
          </cell>
          <cell r="L376">
            <v>499.68</v>
          </cell>
          <cell r="M376" t="str">
            <v>12.50.97.020.00</v>
          </cell>
          <cell r="O376" t="str">
            <v>A36</v>
          </cell>
          <cell r="P376" t="str">
            <v>N</v>
          </cell>
        </row>
        <row r="377">
          <cell r="A377">
            <v>376</v>
          </cell>
          <cell r="B377" t="str">
            <v>PERFIL DOBLADO CORREA Z</v>
          </cell>
          <cell r="C377" t="str">
            <v>Correas Z 100x 50x 15x 2</v>
          </cell>
          <cell r="D377">
            <v>3.4</v>
          </cell>
          <cell r="E377">
            <v>3.4</v>
          </cell>
          <cell r="F377">
            <v>100</v>
          </cell>
          <cell r="G377">
            <v>50</v>
          </cell>
          <cell r="H377">
            <v>2</v>
          </cell>
          <cell r="J377">
            <v>15</v>
          </cell>
          <cell r="K377">
            <v>454</v>
          </cell>
          <cell r="L377">
            <v>428.38</v>
          </cell>
          <cell r="M377" t="str">
            <v>12.50.97.030.00</v>
          </cell>
          <cell r="O377" t="str">
            <v>A36</v>
          </cell>
          <cell r="P377" t="str">
            <v>N</v>
          </cell>
        </row>
        <row r="378">
          <cell r="A378">
            <v>377</v>
          </cell>
          <cell r="B378" t="str">
            <v>PERFIL DOBLADO CORREA Z</v>
          </cell>
          <cell r="C378" t="str">
            <v>Correas Z 100x 50x 15x 3</v>
          </cell>
          <cell r="D378">
            <v>4.95</v>
          </cell>
          <cell r="E378">
            <v>4.95</v>
          </cell>
          <cell r="F378">
            <v>100</v>
          </cell>
          <cell r="G378">
            <v>50</v>
          </cell>
          <cell r="H378">
            <v>3</v>
          </cell>
          <cell r="J378">
            <v>15</v>
          </cell>
          <cell r="K378">
            <v>451</v>
          </cell>
          <cell r="L378">
            <v>619.68000000000006</v>
          </cell>
          <cell r="M378" t="str">
            <v>12.50.97.040.00</v>
          </cell>
          <cell r="O378" t="str">
            <v>A36</v>
          </cell>
          <cell r="P378" t="str">
            <v>N</v>
          </cell>
        </row>
        <row r="379">
          <cell r="A379">
            <v>378</v>
          </cell>
          <cell r="B379" t="str">
            <v>PERFIL DOBLADO CORREA Z</v>
          </cell>
          <cell r="C379" t="str">
            <v>Correas Z 100x 30x 4</v>
          </cell>
          <cell r="D379">
            <v>7.47</v>
          </cell>
          <cell r="E379">
            <v>7.47</v>
          </cell>
          <cell r="F379">
            <v>100</v>
          </cell>
          <cell r="G379">
            <v>30</v>
          </cell>
          <cell r="H379">
            <v>4</v>
          </cell>
          <cell r="K379">
            <v>308</v>
          </cell>
          <cell r="O379" t="str">
            <v>A36</v>
          </cell>
          <cell r="P379" t="str">
            <v>N</v>
          </cell>
        </row>
        <row r="380">
          <cell r="A380">
            <v>379</v>
          </cell>
          <cell r="B380" t="str">
            <v>PERFIL DOBLADO CORREA Z</v>
          </cell>
          <cell r="C380" t="str">
            <v>Correas Z 100x 30x 5</v>
          </cell>
          <cell r="D380">
            <v>9.08</v>
          </cell>
          <cell r="E380">
            <v>9.08</v>
          </cell>
          <cell r="F380">
            <v>100</v>
          </cell>
          <cell r="G380">
            <v>30</v>
          </cell>
          <cell r="H380">
            <v>5</v>
          </cell>
          <cell r="K380">
            <v>305</v>
          </cell>
          <cell r="O380" t="str">
            <v>A36</v>
          </cell>
          <cell r="P380" t="str">
            <v>N</v>
          </cell>
        </row>
        <row r="381">
          <cell r="A381">
            <v>380</v>
          </cell>
          <cell r="B381" t="str">
            <v>PERFIL DOBLADO CORREA Z</v>
          </cell>
          <cell r="C381" t="str">
            <v>Correas Z 100x 30x 6</v>
          </cell>
          <cell r="D381">
            <v>10.58</v>
          </cell>
          <cell r="E381">
            <v>10.58</v>
          </cell>
          <cell r="F381">
            <v>100</v>
          </cell>
          <cell r="G381">
            <v>30</v>
          </cell>
          <cell r="H381">
            <v>6</v>
          </cell>
          <cell r="K381">
            <v>302</v>
          </cell>
          <cell r="O381" t="str">
            <v>A36</v>
          </cell>
          <cell r="P381" t="str">
            <v>N</v>
          </cell>
        </row>
        <row r="382">
          <cell r="A382">
            <v>381</v>
          </cell>
          <cell r="B382" t="str">
            <v>PERFIL DOBLADO CORREA Z</v>
          </cell>
          <cell r="C382" t="str">
            <v>Correas Z 125x 50x 15x 2</v>
          </cell>
          <cell r="D382">
            <v>3.8</v>
          </cell>
          <cell r="E382">
            <v>3.8</v>
          </cell>
          <cell r="F382">
            <v>125</v>
          </cell>
          <cell r="G382">
            <v>50</v>
          </cell>
          <cell r="H382">
            <v>2</v>
          </cell>
          <cell r="J382">
            <v>15</v>
          </cell>
          <cell r="K382">
            <v>504</v>
          </cell>
          <cell r="L382">
            <v>478.38</v>
          </cell>
          <cell r="M382" t="str">
            <v>12.50.97.050.00</v>
          </cell>
          <cell r="O382" t="str">
            <v>A36</v>
          </cell>
          <cell r="P382" t="str">
            <v>N</v>
          </cell>
        </row>
        <row r="383">
          <cell r="A383">
            <v>382</v>
          </cell>
          <cell r="B383" t="str">
            <v>PERFIL DOBLADO CORREA Z</v>
          </cell>
          <cell r="C383" t="str">
            <v xml:space="preserve">Correas Z 125x 50x 15x 3 </v>
          </cell>
          <cell r="D383">
            <v>5.54</v>
          </cell>
          <cell r="E383">
            <v>5.54</v>
          </cell>
          <cell r="F383">
            <v>125</v>
          </cell>
          <cell r="G383">
            <v>50</v>
          </cell>
          <cell r="H383">
            <v>3</v>
          </cell>
          <cell r="J383">
            <v>15</v>
          </cell>
          <cell r="K383">
            <v>501</v>
          </cell>
          <cell r="L383">
            <v>694.68000000000006</v>
          </cell>
          <cell r="M383" t="str">
            <v>12.50.97.060.00</v>
          </cell>
          <cell r="O383" t="str">
            <v>A36</v>
          </cell>
          <cell r="P383" t="str">
            <v>N</v>
          </cell>
        </row>
        <row r="384">
          <cell r="A384">
            <v>383</v>
          </cell>
          <cell r="B384" t="str">
            <v>PERFIL DOBLADO CORREA Z</v>
          </cell>
          <cell r="C384" t="str">
            <v>Correas Z 125x 50x 15x 4</v>
          </cell>
          <cell r="D384">
            <v>8.27</v>
          </cell>
          <cell r="E384">
            <v>8.27</v>
          </cell>
          <cell r="F384">
            <v>125</v>
          </cell>
          <cell r="G384">
            <v>50</v>
          </cell>
          <cell r="H384">
            <v>4</v>
          </cell>
          <cell r="J384">
            <v>15</v>
          </cell>
          <cell r="K384">
            <v>498</v>
          </cell>
          <cell r="M384" t="str">
            <v>12.50.97.070.00</v>
          </cell>
          <cell r="O384" t="str">
            <v>A36</v>
          </cell>
          <cell r="P384" t="str">
            <v>N</v>
          </cell>
        </row>
        <row r="385">
          <cell r="A385">
            <v>384</v>
          </cell>
          <cell r="B385" t="str">
            <v>PERFIL DOBLADO CORREA Z</v>
          </cell>
          <cell r="C385" t="str">
            <v>Correas Z 125x 50x 15x 5</v>
          </cell>
          <cell r="D385">
            <v>10.08</v>
          </cell>
          <cell r="E385">
            <v>10.08</v>
          </cell>
          <cell r="F385">
            <v>125</v>
          </cell>
          <cell r="G385">
            <v>50</v>
          </cell>
          <cell r="H385">
            <v>5</v>
          </cell>
          <cell r="J385">
            <v>15</v>
          </cell>
          <cell r="K385">
            <v>495</v>
          </cell>
          <cell r="M385" t="str">
            <v>12.50.97.080.00</v>
          </cell>
          <cell r="O385" t="str">
            <v>A36</v>
          </cell>
          <cell r="P385" t="str">
            <v>N</v>
          </cell>
        </row>
        <row r="386">
          <cell r="A386">
            <v>385</v>
          </cell>
          <cell r="B386" t="str">
            <v>PERFIL DOBLADO CORREA Z</v>
          </cell>
          <cell r="C386" t="str">
            <v>Correas Z 125x 50x 15x 6</v>
          </cell>
          <cell r="D386">
            <v>11.78</v>
          </cell>
          <cell r="E386">
            <v>11.78</v>
          </cell>
          <cell r="F386">
            <v>125</v>
          </cell>
          <cell r="G386">
            <v>50</v>
          </cell>
          <cell r="H386">
            <v>6</v>
          </cell>
          <cell r="J386">
            <v>15</v>
          </cell>
          <cell r="K386">
            <v>492</v>
          </cell>
          <cell r="M386" t="str">
            <v>12.50.97.090.00</v>
          </cell>
          <cell r="O386" t="str">
            <v>A36</v>
          </cell>
          <cell r="P386" t="str">
            <v>N</v>
          </cell>
        </row>
        <row r="387">
          <cell r="A387">
            <v>386</v>
          </cell>
          <cell r="B387" t="str">
            <v>PERFIL DOBLADO CORREA Z</v>
          </cell>
          <cell r="C387" t="str">
            <v>Correas Z 150x 50x 15x 2</v>
          </cell>
          <cell r="D387">
            <v>4.1900000000000004</v>
          </cell>
          <cell r="E387">
            <v>4.1900000000000004</v>
          </cell>
          <cell r="F387">
            <v>150</v>
          </cell>
          <cell r="G387">
            <v>50</v>
          </cell>
          <cell r="H387">
            <v>2</v>
          </cell>
          <cell r="J387">
            <v>15</v>
          </cell>
          <cell r="K387">
            <v>554</v>
          </cell>
          <cell r="L387">
            <v>528.38</v>
          </cell>
          <cell r="M387" t="str">
            <v>12.50.97.100.00</v>
          </cell>
          <cell r="O387" t="str">
            <v>A36</v>
          </cell>
          <cell r="P387" t="str">
            <v>N</v>
          </cell>
        </row>
        <row r="388">
          <cell r="A388">
            <v>387</v>
          </cell>
          <cell r="B388" t="str">
            <v>PERFIL DOBLADO CORREA Z</v>
          </cell>
          <cell r="C388" t="str">
            <v>Correas Z 150x 50x 15x 3</v>
          </cell>
          <cell r="D388">
            <v>6.13</v>
          </cell>
          <cell r="E388">
            <v>6.13</v>
          </cell>
          <cell r="F388">
            <v>150</v>
          </cell>
          <cell r="G388">
            <v>50</v>
          </cell>
          <cell r="H388">
            <v>3</v>
          </cell>
          <cell r="J388">
            <v>15</v>
          </cell>
          <cell r="K388">
            <v>551</v>
          </cell>
          <cell r="L388">
            <v>769.68000000000006</v>
          </cell>
          <cell r="M388" t="str">
            <v>12.50.97.110.00</v>
          </cell>
          <cell r="O388" t="str">
            <v>A36</v>
          </cell>
          <cell r="P388" t="str">
            <v>N</v>
          </cell>
        </row>
        <row r="389">
          <cell r="A389">
            <v>388</v>
          </cell>
          <cell r="B389" t="str">
            <v>PERFIL DOBLADO CORREA Z</v>
          </cell>
          <cell r="C389" t="str">
            <v>Correas Z 150x 60x 30x 4</v>
          </cell>
          <cell r="D389">
            <v>9.7200000000000006</v>
          </cell>
          <cell r="E389">
            <v>9.7200000000000006</v>
          </cell>
          <cell r="F389">
            <v>150</v>
          </cell>
          <cell r="G389">
            <v>60</v>
          </cell>
          <cell r="H389">
            <v>4</v>
          </cell>
          <cell r="J389">
            <v>30</v>
          </cell>
          <cell r="K389">
            <v>648</v>
          </cell>
          <cell r="M389" t="str">
            <v>12.50.97.120.00</v>
          </cell>
          <cell r="O389" t="str">
            <v>A36</v>
          </cell>
          <cell r="P389" t="str">
            <v>N</v>
          </cell>
        </row>
        <row r="390">
          <cell r="A390">
            <v>389</v>
          </cell>
          <cell r="B390" t="str">
            <v>PERFIL DOBLADO CORREA Z</v>
          </cell>
          <cell r="C390" t="str">
            <v>Correas Z 150x 60x 30x 5</v>
          </cell>
          <cell r="D390">
            <v>11.88</v>
          </cell>
          <cell r="E390">
            <v>11.88</v>
          </cell>
          <cell r="F390">
            <v>150</v>
          </cell>
          <cell r="G390">
            <v>60</v>
          </cell>
          <cell r="H390">
            <v>5</v>
          </cell>
          <cell r="J390">
            <v>30</v>
          </cell>
          <cell r="K390">
            <v>645</v>
          </cell>
          <cell r="M390" t="str">
            <v>12.50.97.130.00</v>
          </cell>
          <cell r="O390" t="str">
            <v>A36</v>
          </cell>
          <cell r="P390" t="str">
            <v>N</v>
          </cell>
        </row>
        <row r="391">
          <cell r="A391">
            <v>390</v>
          </cell>
          <cell r="B391" t="str">
            <v>PERFIL DOBLADO CORREA Z</v>
          </cell>
          <cell r="C391" t="str">
            <v>Correas Z 150x 60x 30x 6</v>
          </cell>
          <cell r="D391">
            <v>13.94</v>
          </cell>
          <cell r="E391">
            <v>13.94</v>
          </cell>
          <cell r="F391">
            <v>150</v>
          </cell>
          <cell r="G391">
            <v>60</v>
          </cell>
          <cell r="H391">
            <v>6</v>
          </cell>
          <cell r="J391">
            <v>30</v>
          </cell>
          <cell r="K391">
            <v>642</v>
          </cell>
          <cell r="M391" t="str">
            <v>12.50.97.140.00</v>
          </cell>
          <cell r="O391" t="str">
            <v>A36</v>
          </cell>
          <cell r="P391" t="str">
            <v>N</v>
          </cell>
        </row>
        <row r="392">
          <cell r="A392">
            <v>391</v>
          </cell>
          <cell r="B392" t="str">
            <v>PERFIL DOBLADO CORREA Z</v>
          </cell>
          <cell r="C392" t="str">
            <v>Correas Z 200x 50x 15x 2</v>
          </cell>
          <cell r="D392">
            <v>4.99</v>
          </cell>
          <cell r="E392">
            <v>4.99</v>
          </cell>
          <cell r="F392">
            <v>200</v>
          </cell>
          <cell r="G392">
            <v>50</v>
          </cell>
          <cell r="H392">
            <v>2</v>
          </cell>
          <cell r="J392">
            <v>15</v>
          </cell>
          <cell r="K392">
            <v>654</v>
          </cell>
          <cell r="L392">
            <v>628.38</v>
          </cell>
          <cell r="M392" t="str">
            <v>12.50.97.150.00</v>
          </cell>
          <cell r="O392" t="str">
            <v>A36</v>
          </cell>
          <cell r="P392" t="str">
            <v>N</v>
          </cell>
        </row>
        <row r="393">
          <cell r="A393">
            <v>392</v>
          </cell>
          <cell r="B393" t="str">
            <v>PERFIL DOBLADO CORREA Z</v>
          </cell>
          <cell r="C393" t="str">
            <v>Correas Z 200x 50x 15x 3</v>
          </cell>
          <cell r="D393">
            <v>7.31</v>
          </cell>
          <cell r="E393">
            <v>7.31</v>
          </cell>
          <cell r="F393">
            <v>200</v>
          </cell>
          <cell r="G393">
            <v>50</v>
          </cell>
          <cell r="H393">
            <v>3</v>
          </cell>
          <cell r="J393">
            <v>15</v>
          </cell>
          <cell r="K393">
            <v>651</v>
          </cell>
          <cell r="L393">
            <v>919.68000000000006</v>
          </cell>
          <cell r="M393" t="str">
            <v>12.50.97.160.00</v>
          </cell>
          <cell r="O393" t="str">
            <v>A36</v>
          </cell>
          <cell r="P393" t="str">
            <v>N</v>
          </cell>
        </row>
        <row r="394">
          <cell r="A394">
            <v>393</v>
          </cell>
          <cell r="B394" t="str">
            <v>PERFIL DOBLADO CORREA Z</v>
          </cell>
          <cell r="C394" t="str">
            <v>Correas Z 200x 80x 4</v>
          </cell>
          <cell r="D394">
            <v>12.6</v>
          </cell>
          <cell r="E394">
            <v>12.6</v>
          </cell>
          <cell r="F394">
            <v>200</v>
          </cell>
          <cell r="G394">
            <v>80</v>
          </cell>
          <cell r="H394">
            <v>4</v>
          </cell>
          <cell r="K394">
            <v>708</v>
          </cell>
          <cell r="O394" t="str">
            <v>A36</v>
          </cell>
          <cell r="P394" t="str">
            <v>N</v>
          </cell>
        </row>
        <row r="395">
          <cell r="A395">
            <v>394</v>
          </cell>
          <cell r="B395" t="str">
            <v>PERFIL DOBLADO CORREA Z</v>
          </cell>
          <cell r="C395" t="str">
            <v>Correas Z 200x 80x 5</v>
          </cell>
          <cell r="D395">
            <v>15.48</v>
          </cell>
          <cell r="E395">
            <v>15.48</v>
          </cell>
          <cell r="F395">
            <v>200</v>
          </cell>
          <cell r="G395">
            <v>80</v>
          </cell>
          <cell r="H395">
            <v>5</v>
          </cell>
          <cell r="K395">
            <v>705</v>
          </cell>
          <cell r="O395" t="str">
            <v>A36</v>
          </cell>
          <cell r="P395" t="str">
            <v>N</v>
          </cell>
        </row>
        <row r="396">
          <cell r="A396">
            <v>395</v>
          </cell>
          <cell r="B396" t="str">
            <v>PERFIL DOBLADO CORREA Z</v>
          </cell>
          <cell r="C396" t="str">
            <v>Correas Z 200x 80x 6</v>
          </cell>
          <cell r="D396">
            <v>18.260000000000002</v>
          </cell>
          <cell r="E396">
            <v>18.260000000000002</v>
          </cell>
          <cell r="F396">
            <v>200</v>
          </cell>
          <cell r="G396">
            <v>80</v>
          </cell>
          <cell r="H396">
            <v>6</v>
          </cell>
          <cell r="K396">
            <v>702</v>
          </cell>
          <cell r="O396" t="str">
            <v>A36</v>
          </cell>
          <cell r="P396" t="str">
            <v>N</v>
          </cell>
        </row>
        <row r="397">
          <cell r="A397">
            <v>396</v>
          </cell>
          <cell r="B397" t="str">
            <v>PERFIL DOBLADO CORREA Z</v>
          </cell>
          <cell r="C397" t="str">
            <v>Correas Z 250x 100x 30x 4</v>
          </cell>
          <cell r="D397">
            <v>15.48</v>
          </cell>
          <cell r="E397">
            <v>15.48</v>
          </cell>
          <cell r="F397">
            <v>250</v>
          </cell>
          <cell r="G397">
            <v>100</v>
          </cell>
          <cell r="H397">
            <v>4</v>
          </cell>
          <cell r="J397">
            <v>30</v>
          </cell>
          <cell r="K397">
            <v>1008</v>
          </cell>
          <cell r="M397" t="str">
            <v>12.50.97.170.00</v>
          </cell>
          <cell r="O397" t="str">
            <v>A36</v>
          </cell>
          <cell r="P397" t="str">
            <v>N</v>
          </cell>
        </row>
        <row r="398">
          <cell r="A398">
            <v>397</v>
          </cell>
          <cell r="B398" t="str">
            <v>PERFIL DOBLADO CORREA Z</v>
          </cell>
          <cell r="C398" t="str">
            <v>Correas Z 250x 100x 30x 5</v>
          </cell>
          <cell r="D398">
            <v>19.079999999999998</v>
          </cell>
          <cell r="E398">
            <v>19.079999999999998</v>
          </cell>
          <cell r="F398">
            <v>250</v>
          </cell>
          <cell r="G398">
            <v>100</v>
          </cell>
          <cell r="H398">
            <v>5</v>
          </cell>
          <cell r="J398">
            <v>30</v>
          </cell>
          <cell r="K398">
            <v>1005</v>
          </cell>
          <cell r="M398" t="str">
            <v>12.50.97.180.00</v>
          </cell>
          <cell r="O398" t="str">
            <v>A36</v>
          </cell>
          <cell r="P398" t="str">
            <v>N</v>
          </cell>
        </row>
        <row r="399">
          <cell r="A399">
            <v>398</v>
          </cell>
          <cell r="B399" t="str">
            <v>PERFIL DOBLADO CORREA Z</v>
          </cell>
          <cell r="C399" t="str">
            <v>Correas Z 250x 100x 30x 6</v>
          </cell>
          <cell r="D399">
            <v>22.58</v>
          </cell>
          <cell r="E399">
            <v>22.58</v>
          </cell>
          <cell r="F399">
            <v>250</v>
          </cell>
          <cell r="G399">
            <v>100</v>
          </cell>
          <cell r="H399">
            <v>6</v>
          </cell>
          <cell r="J399">
            <v>30</v>
          </cell>
          <cell r="K399">
            <v>1002</v>
          </cell>
          <cell r="M399" t="str">
            <v>12.50.97.190.00</v>
          </cell>
          <cell r="O399" t="str">
            <v>A36</v>
          </cell>
          <cell r="P399" t="str">
            <v>N</v>
          </cell>
        </row>
        <row r="400">
          <cell r="A400">
            <v>399</v>
          </cell>
          <cell r="B400" t="str">
            <v>ROFFTEC CORREA Z</v>
          </cell>
          <cell r="C400" t="str">
            <v>Correa Z 64x 32x 10x 1,00</v>
          </cell>
          <cell r="D400">
            <v>1.1100000000000001</v>
          </cell>
          <cell r="E400">
            <v>1.1100000000000001</v>
          </cell>
          <cell r="F400">
            <v>64</v>
          </cell>
          <cell r="G400">
            <v>32</v>
          </cell>
          <cell r="H400">
            <v>1</v>
          </cell>
          <cell r="J400">
            <v>10</v>
          </cell>
          <cell r="K400">
            <v>293</v>
          </cell>
          <cell r="O400" t="str">
            <v>A36</v>
          </cell>
          <cell r="P400" t="str">
            <v>N</v>
          </cell>
        </row>
        <row r="401">
          <cell r="A401">
            <v>400</v>
          </cell>
          <cell r="B401" t="str">
            <v>ROFFTEC CORREA Z</v>
          </cell>
          <cell r="C401" t="str">
            <v>Correa Z 64x 32x 10x 1,20</v>
          </cell>
          <cell r="D401">
            <v>1.32</v>
          </cell>
          <cell r="E401">
            <v>1.32</v>
          </cell>
          <cell r="F401">
            <v>64</v>
          </cell>
          <cell r="G401">
            <v>32</v>
          </cell>
          <cell r="H401">
            <v>1.2</v>
          </cell>
          <cell r="J401">
            <v>10</v>
          </cell>
          <cell r="K401">
            <v>292.39999999999998</v>
          </cell>
          <cell r="O401" t="str">
            <v>A36</v>
          </cell>
          <cell r="P401" t="str">
            <v>N</v>
          </cell>
        </row>
        <row r="402">
          <cell r="A402">
            <v>401</v>
          </cell>
          <cell r="B402" t="str">
            <v>ROFFTEC CORREA Z</v>
          </cell>
          <cell r="C402" t="str">
            <v>Correa Z 75x 38x 10x 1,00</v>
          </cell>
          <cell r="D402">
            <v>1.29</v>
          </cell>
          <cell r="E402">
            <v>1.29</v>
          </cell>
          <cell r="F402">
            <v>75</v>
          </cell>
          <cell r="G402">
            <v>38</v>
          </cell>
          <cell r="H402">
            <v>1</v>
          </cell>
          <cell r="J402">
            <v>10</v>
          </cell>
          <cell r="K402">
            <v>339</v>
          </cell>
          <cell r="O402" t="str">
            <v>A36</v>
          </cell>
          <cell r="P402" t="str">
            <v>N</v>
          </cell>
        </row>
        <row r="403">
          <cell r="A403">
            <v>402</v>
          </cell>
          <cell r="B403" t="str">
            <v>ROFFTEC CORREA Z</v>
          </cell>
          <cell r="C403" t="str">
            <v>Correa Z 75x 38x 10x 1,20</v>
          </cell>
          <cell r="D403">
            <v>1.54</v>
          </cell>
          <cell r="E403">
            <v>1.54</v>
          </cell>
          <cell r="F403">
            <v>75</v>
          </cell>
          <cell r="G403">
            <v>38</v>
          </cell>
          <cell r="H403">
            <v>1.2</v>
          </cell>
          <cell r="J403">
            <v>10</v>
          </cell>
          <cell r="K403">
            <v>338.4</v>
          </cell>
          <cell r="O403" t="str">
            <v>A36</v>
          </cell>
          <cell r="P403" t="str">
            <v>N</v>
          </cell>
        </row>
        <row r="404">
          <cell r="A404">
            <v>403</v>
          </cell>
          <cell r="B404" t="str">
            <v>ROFFTEC CORREA Z</v>
          </cell>
          <cell r="C404" t="str">
            <v>Correa Z 100x 38x 10x 1,00</v>
          </cell>
          <cell r="D404">
            <v>1.47</v>
          </cell>
          <cell r="E404">
            <v>1.47</v>
          </cell>
          <cell r="F404">
            <v>100</v>
          </cell>
          <cell r="G404">
            <v>38</v>
          </cell>
          <cell r="H404">
            <v>1</v>
          </cell>
          <cell r="J404">
            <v>10</v>
          </cell>
          <cell r="K404">
            <v>389</v>
          </cell>
          <cell r="O404" t="str">
            <v>A36</v>
          </cell>
          <cell r="P404" t="str">
            <v>N</v>
          </cell>
        </row>
        <row r="405">
          <cell r="A405">
            <v>404</v>
          </cell>
          <cell r="B405" t="str">
            <v>ROFFTEC CORREA Z</v>
          </cell>
          <cell r="C405" t="str">
            <v>Correa Z 100x 38x 10x 1,20</v>
          </cell>
          <cell r="D405">
            <v>1.75</v>
          </cell>
          <cell r="E405">
            <v>1.75</v>
          </cell>
          <cell r="F405">
            <v>100</v>
          </cell>
          <cell r="G405">
            <v>38</v>
          </cell>
          <cell r="H405">
            <v>1.2</v>
          </cell>
          <cell r="J405">
            <v>10</v>
          </cell>
          <cell r="K405">
            <v>388.40000000000003</v>
          </cell>
          <cell r="O405" t="str">
            <v>A36</v>
          </cell>
          <cell r="P405" t="str">
            <v>N</v>
          </cell>
        </row>
        <row r="406">
          <cell r="A406">
            <v>405</v>
          </cell>
          <cell r="B406" t="str">
            <v>ROFFTEC CORREA Z</v>
          </cell>
          <cell r="C406" t="str">
            <v>Correa Z 125x 38x 10x 1,00</v>
          </cell>
          <cell r="D406">
            <v>1.66</v>
          </cell>
          <cell r="E406">
            <v>1.66</v>
          </cell>
          <cell r="F406">
            <v>125</v>
          </cell>
          <cell r="G406">
            <v>38</v>
          </cell>
          <cell r="H406">
            <v>1</v>
          </cell>
          <cell r="J406">
            <v>10</v>
          </cell>
          <cell r="K406">
            <v>439</v>
          </cell>
          <cell r="O406" t="str">
            <v>A36</v>
          </cell>
          <cell r="P406" t="str">
            <v>N</v>
          </cell>
        </row>
        <row r="407">
          <cell r="A407">
            <v>406</v>
          </cell>
          <cell r="B407" t="str">
            <v>ROFFTEC CORREA Z</v>
          </cell>
          <cell r="C407" t="str">
            <v>Correa Z 125x 38x 11x 1,20</v>
          </cell>
          <cell r="D407">
            <v>1.99</v>
          </cell>
          <cell r="E407">
            <v>1.99</v>
          </cell>
          <cell r="F407">
            <v>125</v>
          </cell>
          <cell r="G407">
            <v>38</v>
          </cell>
          <cell r="H407">
            <v>1.2</v>
          </cell>
          <cell r="J407">
            <v>11</v>
          </cell>
          <cell r="K407">
            <v>442.40000000000003</v>
          </cell>
          <cell r="O407" t="str">
            <v>A36</v>
          </cell>
          <cell r="P407" t="str">
            <v>N</v>
          </cell>
        </row>
        <row r="408">
          <cell r="A408">
            <v>407</v>
          </cell>
          <cell r="B408" t="str">
            <v>ROFFTEC CORREA Z</v>
          </cell>
          <cell r="C408" t="str">
            <v>Correa Z 125x 38x 12x 1,40</v>
          </cell>
          <cell r="D408">
            <v>2.31</v>
          </cell>
          <cell r="E408">
            <v>2.31</v>
          </cell>
          <cell r="F408">
            <v>125</v>
          </cell>
          <cell r="G408">
            <v>38</v>
          </cell>
          <cell r="H408">
            <v>1.4</v>
          </cell>
          <cell r="J408">
            <v>12</v>
          </cell>
          <cell r="K408">
            <v>445.79999999999995</v>
          </cell>
          <cell r="O408" t="str">
            <v>A36</v>
          </cell>
          <cell r="P408" t="str">
            <v>N</v>
          </cell>
        </row>
        <row r="409">
          <cell r="A409">
            <v>408</v>
          </cell>
          <cell r="B409" t="str">
            <v>ROFFTEC CORREA Z</v>
          </cell>
          <cell r="C409" t="str">
            <v>Correa Z 125x 38x 13x 1,60</v>
          </cell>
          <cell r="D409">
            <v>2.62</v>
          </cell>
          <cell r="E409">
            <v>2.62</v>
          </cell>
          <cell r="F409">
            <v>125</v>
          </cell>
          <cell r="G409">
            <v>38</v>
          </cell>
          <cell r="H409">
            <v>1.6</v>
          </cell>
          <cell r="J409">
            <v>13</v>
          </cell>
          <cell r="K409">
            <v>449.20000000000005</v>
          </cell>
          <cell r="O409" t="str">
            <v>A36</v>
          </cell>
          <cell r="P409" t="str">
            <v>N</v>
          </cell>
        </row>
        <row r="410">
          <cell r="A410">
            <v>409</v>
          </cell>
          <cell r="B410" t="str">
            <v>ROFFTEC CORREA Z</v>
          </cell>
          <cell r="C410" t="str">
            <v>Correa Z 125x 50x 10x 1,40</v>
          </cell>
          <cell r="D410">
            <v>2.57</v>
          </cell>
          <cell r="E410">
            <v>2.57</v>
          </cell>
          <cell r="F410">
            <v>125</v>
          </cell>
          <cell r="G410">
            <v>50</v>
          </cell>
          <cell r="H410">
            <v>1.4</v>
          </cell>
          <cell r="J410">
            <v>10</v>
          </cell>
          <cell r="K410">
            <v>485.79999999999995</v>
          </cell>
          <cell r="O410" t="str">
            <v>A36</v>
          </cell>
          <cell r="P410" t="str">
            <v>N</v>
          </cell>
        </row>
        <row r="411">
          <cell r="A411">
            <v>410</v>
          </cell>
          <cell r="B411" t="str">
            <v>ROFFTEC CORREA Z</v>
          </cell>
          <cell r="C411" t="str">
            <v>Correa Z 125x 50x 11x 1,60</v>
          </cell>
          <cell r="D411">
            <v>2.93</v>
          </cell>
          <cell r="E411">
            <v>2.93</v>
          </cell>
          <cell r="F411">
            <v>125</v>
          </cell>
          <cell r="G411">
            <v>50</v>
          </cell>
          <cell r="H411">
            <v>1.6</v>
          </cell>
          <cell r="J411">
            <v>11</v>
          </cell>
          <cell r="K411">
            <v>489.20000000000005</v>
          </cell>
          <cell r="O411" t="str">
            <v>A36</v>
          </cell>
          <cell r="P411" t="str">
            <v>N</v>
          </cell>
        </row>
        <row r="412">
          <cell r="A412">
            <v>411</v>
          </cell>
          <cell r="B412" t="str">
            <v>ROFFTEC CORREA Z</v>
          </cell>
          <cell r="C412" t="str">
            <v>Correa Z 150x 38x 10x 1,40</v>
          </cell>
          <cell r="D412">
            <v>2.58</v>
          </cell>
          <cell r="E412">
            <v>2.58</v>
          </cell>
          <cell r="F412">
            <v>150</v>
          </cell>
          <cell r="G412">
            <v>38</v>
          </cell>
          <cell r="H412">
            <v>1.4</v>
          </cell>
          <cell r="J412">
            <v>10</v>
          </cell>
          <cell r="K412">
            <v>487.79999999999995</v>
          </cell>
          <cell r="O412" t="str">
            <v>A36</v>
          </cell>
          <cell r="P412" t="str">
            <v>N</v>
          </cell>
        </row>
        <row r="413">
          <cell r="A413">
            <v>412</v>
          </cell>
          <cell r="B413" t="str">
            <v>ROFFTEC CORREA Z</v>
          </cell>
          <cell r="C413" t="str">
            <v>Correa Z 150x 38x 10x 1,60</v>
          </cell>
          <cell r="D413">
            <v>2.94</v>
          </cell>
          <cell r="E413">
            <v>2.94</v>
          </cell>
          <cell r="F413">
            <v>150</v>
          </cell>
          <cell r="G413">
            <v>38</v>
          </cell>
          <cell r="H413">
            <v>1.6</v>
          </cell>
          <cell r="J413">
            <v>10</v>
          </cell>
          <cell r="K413">
            <v>487.20000000000005</v>
          </cell>
          <cell r="O413" t="str">
            <v>A36</v>
          </cell>
          <cell r="P413" t="str">
            <v>N</v>
          </cell>
        </row>
        <row r="414">
          <cell r="A414">
            <v>413</v>
          </cell>
          <cell r="B414" t="str">
            <v>ROFFTEC CORREA Z</v>
          </cell>
          <cell r="C414" t="str">
            <v>Correa Z 150x 50x 10x 1,40</v>
          </cell>
          <cell r="D414">
            <v>2.85</v>
          </cell>
          <cell r="E414">
            <v>2.85</v>
          </cell>
          <cell r="F414">
            <v>150</v>
          </cell>
          <cell r="G414">
            <v>50</v>
          </cell>
          <cell r="H414">
            <v>1.4</v>
          </cell>
          <cell r="J414">
            <v>10</v>
          </cell>
          <cell r="K414">
            <v>535.79999999999995</v>
          </cell>
          <cell r="O414" t="str">
            <v>A36</v>
          </cell>
          <cell r="P414" t="str">
            <v>N</v>
          </cell>
        </row>
        <row r="415">
          <cell r="A415">
            <v>414</v>
          </cell>
          <cell r="B415" t="str">
            <v>ROFFTEC CORREA Z</v>
          </cell>
          <cell r="C415" t="str">
            <v>Correa Z 150x 50x 10x 1,60</v>
          </cell>
          <cell r="D415">
            <v>3.24</v>
          </cell>
          <cell r="E415">
            <v>3.24</v>
          </cell>
          <cell r="F415">
            <v>150</v>
          </cell>
          <cell r="G415">
            <v>50</v>
          </cell>
          <cell r="H415">
            <v>1.6</v>
          </cell>
          <cell r="J415">
            <v>10</v>
          </cell>
          <cell r="K415">
            <v>535.20000000000005</v>
          </cell>
          <cell r="O415" t="str">
            <v>A36</v>
          </cell>
          <cell r="P415" t="str">
            <v>N</v>
          </cell>
        </row>
        <row r="416">
          <cell r="A416">
            <v>415</v>
          </cell>
          <cell r="B416" t="str">
            <v>ROFFTEC CORREA Z</v>
          </cell>
          <cell r="C416" t="str">
            <v>Correa Z 175x 38x 10x 1,40</v>
          </cell>
          <cell r="D416">
            <v>2.86</v>
          </cell>
          <cell r="E416">
            <v>2.86</v>
          </cell>
          <cell r="F416">
            <v>175</v>
          </cell>
          <cell r="G416">
            <v>38</v>
          </cell>
          <cell r="H416">
            <v>1.4</v>
          </cell>
          <cell r="J416">
            <v>10</v>
          </cell>
          <cell r="K416">
            <v>537.79999999999995</v>
          </cell>
          <cell r="O416" t="str">
            <v>A36</v>
          </cell>
          <cell r="P416" t="str">
            <v>N</v>
          </cell>
        </row>
        <row r="417">
          <cell r="A417">
            <v>416</v>
          </cell>
          <cell r="B417" t="str">
            <v>ROFFTEC CORREA Z</v>
          </cell>
          <cell r="C417" t="str">
            <v>Correa Z 175x 38x 10x 1,60</v>
          </cell>
          <cell r="D417">
            <v>3.25</v>
          </cell>
          <cell r="E417">
            <v>3.25</v>
          </cell>
          <cell r="F417">
            <v>175</v>
          </cell>
          <cell r="G417">
            <v>38</v>
          </cell>
          <cell r="H417">
            <v>1.6</v>
          </cell>
          <cell r="J417">
            <v>10</v>
          </cell>
          <cell r="K417">
            <v>537.20000000000005</v>
          </cell>
          <cell r="O417" t="str">
            <v>A36</v>
          </cell>
          <cell r="P417" t="str">
            <v>N</v>
          </cell>
        </row>
        <row r="418">
          <cell r="A418">
            <v>417</v>
          </cell>
          <cell r="B418" t="str">
            <v>ROFFTEC CORREA Z</v>
          </cell>
          <cell r="C418" t="str">
            <v>Correa Z 175x 50x 10x 1,40</v>
          </cell>
          <cell r="D418">
            <v>3.13</v>
          </cell>
          <cell r="E418">
            <v>3.13</v>
          </cell>
          <cell r="F418">
            <v>175</v>
          </cell>
          <cell r="G418">
            <v>50</v>
          </cell>
          <cell r="H418">
            <v>1.4</v>
          </cell>
          <cell r="J418">
            <v>10</v>
          </cell>
          <cell r="K418">
            <v>585.79999999999995</v>
          </cell>
          <cell r="O418" t="str">
            <v>A36</v>
          </cell>
          <cell r="P418" t="str">
            <v>N</v>
          </cell>
        </row>
        <row r="419">
          <cell r="A419">
            <v>418</v>
          </cell>
          <cell r="B419" t="str">
            <v>ROFFTEC CORREA Z</v>
          </cell>
          <cell r="C419" t="str">
            <v>Correa Z 175x 50x 10x 1,60</v>
          </cell>
          <cell r="D419">
            <v>3.55</v>
          </cell>
          <cell r="E419">
            <v>3.55</v>
          </cell>
          <cell r="F419">
            <v>175</v>
          </cell>
          <cell r="G419">
            <v>50</v>
          </cell>
          <cell r="H419">
            <v>1.6</v>
          </cell>
          <cell r="J419">
            <v>10</v>
          </cell>
          <cell r="K419">
            <v>585.20000000000005</v>
          </cell>
          <cell r="O419" t="str">
            <v>A36</v>
          </cell>
          <cell r="P419" t="str">
            <v>N</v>
          </cell>
        </row>
        <row r="420">
          <cell r="A420">
            <v>419</v>
          </cell>
          <cell r="B420" t="str">
            <v>ROFFTEC CORREA Z</v>
          </cell>
          <cell r="C420" t="str">
            <v>Correa Z 200x 50x 10x 1,40</v>
          </cell>
          <cell r="D420">
            <v>3.39</v>
          </cell>
          <cell r="E420">
            <v>3.39</v>
          </cell>
          <cell r="F420">
            <v>200</v>
          </cell>
          <cell r="G420">
            <v>50</v>
          </cell>
          <cell r="H420">
            <v>1.4</v>
          </cell>
          <cell r="J420">
            <v>10</v>
          </cell>
          <cell r="K420">
            <v>635.79999999999995</v>
          </cell>
          <cell r="O420" t="str">
            <v>A36</v>
          </cell>
          <cell r="P420" t="str">
            <v>N</v>
          </cell>
        </row>
        <row r="421">
          <cell r="A421">
            <v>420</v>
          </cell>
          <cell r="B421" t="str">
            <v>ROFFTEC CORREA Z</v>
          </cell>
          <cell r="C421" t="str">
            <v>Correa Z 200x 50x 10x 1,60</v>
          </cell>
          <cell r="D421">
            <v>3.87</v>
          </cell>
          <cell r="E421">
            <v>3.87</v>
          </cell>
          <cell r="F421">
            <v>200</v>
          </cell>
          <cell r="G421">
            <v>50</v>
          </cell>
          <cell r="H421">
            <v>1.6</v>
          </cell>
          <cell r="J421">
            <v>10</v>
          </cell>
          <cell r="K421">
            <v>635.20000000000005</v>
          </cell>
          <cell r="O421" t="str">
            <v>A36</v>
          </cell>
          <cell r="P421" t="str">
            <v>N</v>
          </cell>
        </row>
        <row r="422">
          <cell r="A422">
            <v>421</v>
          </cell>
          <cell r="B422" t="str">
            <v>"Ω" PERFIL ESTRUCTURAL (Omega)</v>
          </cell>
          <cell r="C422" t="str">
            <v>Ω 35x50x20x2</v>
          </cell>
          <cell r="D422">
            <v>2.5</v>
          </cell>
          <cell r="E422">
            <v>2.5</v>
          </cell>
          <cell r="F422">
            <v>20</v>
          </cell>
          <cell r="G422">
            <v>50</v>
          </cell>
          <cell r="H422">
            <v>2</v>
          </cell>
          <cell r="J422">
            <v>35</v>
          </cell>
          <cell r="K422">
            <v>354</v>
          </cell>
          <cell r="L422">
            <v>321</v>
          </cell>
          <cell r="O422" t="str">
            <v>A36</v>
          </cell>
          <cell r="P422" t="str">
            <v>N</v>
          </cell>
        </row>
        <row r="423">
          <cell r="A423">
            <v>422</v>
          </cell>
          <cell r="B423" t="str">
            <v>"Ω" PERFIL ESTRUCTURAL (Omega)</v>
          </cell>
          <cell r="C423" t="str">
            <v>Ω 35x50x20x3</v>
          </cell>
          <cell r="D423">
            <v>3.8000000000000003</v>
          </cell>
          <cell r="E423">
            <v>3.8000000000000003</v>
          </cell>
          <cell r="F423">
            <v>20</v>
          </cell>
          <cell r="G423">
            <v>50</v>
          </cell>
          <cell r="H423">
            <v>3</v>
          </cell>
          <cell r="J423">
            <v>35</v>
          </cell>
          <cell r="K423">
            <v>356</v>
          </cell>
          <cell r="L423">
            <v>453</v>
          </cell>
          <cell r="O423" t="str">
            <v>A36</v>
          </cell>
          <cell r="P423" t="str">
            <v>N</v>
          </cell>
        </row>
        <row r="424">
          <cell r="A424">
            <v>423</v>
          </cell>
          <cell r="B424" t="str">
            <v>"Ω" PERFIL ESTRUCTURAL (Omega)</v>
          </cell>
          <cell r="C424" t="str">
            <v>Ω 50x50x20x2</v>
          </cell>
          <cell r="D424">
            <v>2.73</v>
          </cell>
          <cell r="E424">
            <v>2.73</v>
          </cell>
          <cell r="F424">
            <v>20</v>
          </cell>
          <cell r="G424">
            <v>50</v>
          </cell>
          <cell r="H424">
            <v>2</v>
          </cell>
          <cell r="J424">
            <v>50</v>
          </cell>
          <cell r="K424">
            <v>384</v>
          </cell>
          <cell r="L424">
            <v>348</v>
          </cell>
          <cell r="O424" t="str">
            <v>A36</v>
          </cell>
          <cell r="P424" t="str">
            <v>N</v>
          </cell>
        </row>
        <row r="425">
          <cell r="A425">
            <v>424</v>
          </cell>
          <cell r="B425" t="str">
            <v>"Ω" PERFIL ESTRUCTURAL (Omega)</v>
          </cell>
          <cell r="C425" t="str">
            <v>Ω 75x50x20x2</v>
          </cell>
          <cell r="D425">
            <v>3.1199999999999997</v>
          </cell>
          <cell r="E425">
            <v>3.1199999999999997</v>
          </cell>
          <cell r="F425">
            <v>20</v>
          </cell>
          <cell r="G425">
            <v>50</v>
          </cell>
          <cell r="H425">
            <v>2</v>
          </cell>
          <cell r="J425">
            <v>75</v>
          </cell>
          <cell r="K425">
            <v>434</v>
          </cell>
          <cell r="L425">
            <v>397</v>
          </cell>
          <cell r="O425" t="str">
            <v>A36</v>
          </cell>
          <cell r="P425" t="str">
            <v>N</v>
          </cell>
        </row>
        <row r="426">
          <cell r="A426">
            <v>425</v>
          </cell>
          <cell r="B426" t="str">
            <v>"Ω" PERFIL ESTRUCTURAL (Omega)</v>
          </cell>
          <cell r="C426" t="str">
            <v>Ω 75x50x20x3</v>
          </cell>
          <cell r="D426">
            <v>4.5</v>
          </cell>
          <cell r="E426">
            <v>4.5</v>
          </cell>
          <cell r="F426">
            <v>20</v>
          </cell>
          <cell r="G426">
            <v>50</v>
          </cell>
          <cell r="H426">
            <v>3</v>
          </cell>
          <cell r="J426">
            <v>75</v>
          </cell>
          <cell r="K426">
            <v>436</v>
          </cell>
          <cell r="L426">
            <v>573</v>
          </cell>
          <cell r="O426" t="str">
            <v>A36</v>
          </cell>
          <cell r="P426" t="str">
            <v>N</v>
          </cell>
        </row>
        <row r="427">
          <cell r="A427">
            <v>426</v>
          </cell>
          <cell r="B427" t="str">
            <v>"Ω" PERFIL ESTRUCTURAL (Omega)</v>
          </cell>
          <cell r="C427" t="str">
            <v>Ω 100x50x20x2</v>
          </cell>
          <cell r="D427">
            <v>3.52</v>
          </cell>
          <cell r="E427">
            <v>3.52</v>
          </cell>
          <cell r="F427">
            <v>20</v>
          </cell>
          <cell r="G427">
            <v>50</v>
          </cell>
          <cell r="H427">
            <v>2</v>
          </cell>
          <cell r="J427">
            <v>100</v>
          </cell>
          <cell r="K427">
            <v>484</v>
          </cell>
          <cell r="L427">
            <v>448.00000000000006</v>
          </cell>
          <cell r="O427" t="str">
            <v>A36</v>
          </cell>
          <cell r="P427" t="str">
            <v>N</v>
          </cell>
        </row>
        <row r="428">
          <cell r="A428">
            <v>427</v>
          </cell>
          <cell r="B428" t="str">
            <v>"Ω" PERFIL ESTRUCTURAL (Omega)</v>
          </cell>
          <cell r="C428" t="str">
            <v>Ω 100x50x20x3</v>
          </cell>
          <cell r="D428">
            <v>10.18</v>
          </cell>
          <cell r="E428">
            <v>10.18</v>
          </cell>
          <cell r="F428">
            <v>20</v>
          </cell>
          <cell r="G428">
            <v>50</v>
          </cell>
          <cell r="H428">
            <v>3</v>
          </cell>
          <cell r="J428">
            <v>100</v>
          </cell>
          <cell r="K428">
            <v>486</v>
          </cell>
          <cell r="L428">
            <v>648</v>
          </cell>
          <cell r="O428" t="str">
            <v>A36</v>
          </cell>
          <cell r="P428" t="str">
            <v>N</v>
          </cell>
        </row>
        <row r="429">
          <cell r="A429">
            <v>428</v>
          </cell>
          <cell r="B429" t="str">
            <v>"Ω" PERFIL ESTRUCTURAL (Omega)</v>
          </cell>
          <cell r="C429" t="str">
            <v>Ω 125x50x20x2</v>
          </cell>
          <cell r="D429">
            <v>3.91</v>
          </cell>
          <cell r="E429">
            <v>3.91</v>
          </cell>
          <cell r="F429">
            <v>20</v>
          </cell>
          <cell r="G429">
            <v>50</v>
          </cell>
          <cell r="H429">
            <v>2</v>
          </cell>
          <cell r="J429">
            <v>125</v>
          </cell>
          <cell r="K429">
            <v>534</v>
          </cell>
          <cell r="L429">
            <v>498.00000000000006</v>
          </cell>
          <cell r="O429" t="str">
            <v>A36</v>
          </cell>
          <cell r="P429" t="str">
            <v>N</v>
          </cell>
        </row>
        <row r="430">
          <cell r="A430">
            <v>429</v>
          </cell>
          <cell r="B430" t="str">
            <v>"Ω" PERFIL ESTRUCTURAL (Omega)</v>
          </cell>
          <cell r="C430" t="str">
            <v>Ω 125x50x20x3</v>
          </cell>
          <cell r="D430">
            <v>5.68</v>
          </cell>
          <cell r="E430">
            <v>5.68</v>
          </cell>
          <cell r="F430">
            <v>20</v>
          </cell>
          <cell r="G430">
            <v>50</v>
          </cell>
          <cell r="H430">
            <v>3</v>
          </cell>
          <cell r="J430">
            <v>125</v>
          </cell>
          <cell r="K430">
            <v>536</v>
          </cell>
          <cell r="L430">
            <v>724</v>
          </cell>
          <cell r="O430" t="str">
            <v>A36</v>
          </cell>
          <cell r="P430" t="str">
            <v>N</v>
          </cell>
        </row>
        <row r="431">
          <cell r="A431">
            <v>430</v>
          </cell>
          <cell r="B431" t="str">
            <v>"Ω" PERFIL ESTRUCTURAL (Omega)</v>
          </cell>
          <cell r="C431" t="str">
            <v>Ω 150x50x20x2</v>
          </cell>
          <cell r="D431">
            <v>4.3</v>
          </cell>
          <cell r="E431">
            <v>4.3</v>
          </cell>
          <cell r="F431">
            <v>20</v>
          </cell>
          <cell r="G431">
            <v>50</v>
          </cell>
          <cell r="H431">
            <v>2</v>
          </cell>
          <cell r="J431">
            <v>150</v>
          </cell>
          <cell r="K431">
            <v>584</v>
          </cell>
          <cell r="L431">
            <v>548</v>
          </cell>
          <cell r="O431" t="str">
            <v>A36</v>
          </cell>
          <cell r="P431" t="str">
            <v>N</v>
          </cell>
        </row>
        <row r="432">
          <cell r="A432">
            <v>431</v>
          </cell>
          <cell r="B432" t="str">
            <v>"Ω" PERFIL ESTRUCTURAL (Omega)</v>
          </cell>
          <cell r="C432" t="str">
            <v>Ω 150x50x20x3</v>
          </cell>
          <cell r="D432">
            <v>6.2600000000000007</v>
          </cell>
          <cell r="E432">
            <v>6.2600000000000007</v>
          </cell>
          <cell r="F432">
            <v>20</v>
          </cell>
          <cell r="G432">
            <v>50</v>
          </cell>
          <cell r="H432">
            <v>3</v>
          </cell>
          <cell r="J432">
            <v>150</v>
          </cell>
          <cell r="K432">
            <v>586</v>
          </cell>
          <cell r="L432">
            <v>798</v>
          </cell>
          <cell r="O432" t="str">
            <v>A36</v>
          </cell>
          <cell r="P432" t="str">
            <v>N</v>
          </cell>
        </row>
        <row r="433">
          <cell r="A433">
            <v>432</v>
          </cell>
          <cell r="B433" t="str">
            <v>"TEES" PERFIL LAMINADO</v>
          </cell>
          <cell r="C433" t="str">
            <v>TEE 20x3</v>
          </cell>
          <cell r="D433">
            <v>0.9</v>
          </cell>
          <cell r="E433">
            <v>0.9</v>
          </cell>
          <cell r="F433">
            <v>20</v>
          </cell>
          <cell r="G433">
            <v>20</v>
          </cell>
          <cell r="H433">
            <v>3</v>
          </cell>
          <cell r="K433">
            <v>0.08</v>
          </cell>
          <cell r="L433">
            <v>114.99999999999999</v>
          </cell>
          <cell r="O433" t="str">
            <v>A36</v>
          </cell>
          <cell r="P433" t="str">
            <v>N</v>
          </cell>
        </row>
        <row r="434">
          <cell r="A434">
            <v>433</v>
          </cell>
          <cell r="B434" t="str">
            <v>"TEES" PERFIL LAMINADO</v>
          </cell>
          <cell r="C434" t="str">
            <v>TEE 25x3</v>
          </cell>
          <cell r="D434">
            <v>1.19</v>
          </cell>
          <cell r="E434">
            <v>1.19</v>
          </cell>
          <cell r="F434">
            <v>25</v>
          </cell>
          <cell r="G434">
            <v>25</v>
          </cell>
          <cell r="H434">
            <v>3</v>
          </cell>
          <cell r="K434">
            <v>0.1</v>
          </cell>
          <cell r="L434">
            <v>152</v>
          </cell>
          <cell r="O434" t="str">
            <v>A36</v>
          </cell>
          <cell r="P434" t="str">
            <v>N</v>
          </cell>
        </row>
        <row r="435">
          <cell r="A435">
            <v>434</v>
          </cell>
          <cell r="B435" t="str">
            <v>"TEES" PERFIL LAMINADO</v>
          </cell>
          <cell r="C435" t="str">
            <v>TEE 30x3</v>
          </cell>
          <cell r="D435">
            <v>1.4133333333333333</v>
          </cell>
          <cell r="E435">
            <v>1.4133333333333333</v>
          </cell>
          <cell r="F435">
            <v>30</v>
          </cell>
          <cell r="G435">
            <v>30</v>
          </cell>
          <cell r="H435">
            <v>3</v>
          </cell>
          <cell r="K435">
            <v>0.12</v>
          </cell>
          <cell r="L435">
            <v>180</v>
          </cell>
          <cell r="O435" t="str">
            <v>A36</v>
          </cell>
          <cell r="P435" t="str">
            <v>N</v>
          </cell>
        </row>
        <row r="436">
          <cell r="A436">
            <v>435</v>
          </cell>
          <cell r="B436" t="str">
            <v>"L" PERFIL GRADO 50 ASTM A572.</v>
          </cell>
          <cell r="C436" t="str">
            <v>HL 38x3,2</v>
          </cell>
          <cell r="D436">
            <v>1.82</v>
          </cell>
          <cell r="E436">
            <v>1.82</v>
          </cell>
          <cell r="F436">
            <v>38.099999999999994</v>
          </cell>
          <cell r="G436">
            <v>38.099999999999994</v>
          </cell>
          <cell r="H436">
            <v>3.1749999999999998</v>
          </cell>
          <cell r="K436">
            <v>152.39999999999998</v>
          </cell>
          <cell r="O436" t="str">
            <v>A572 G50</v>
          </cell>
          <cell r="P436" t="str">
            <v>S</v>
          </cell>
        </row>
        <row r="437">
          <cell r="A437">
            <v>436</v>
          </cell>
          <cell r="B437" t="str">
            <v>"L" PERFIL GRADO 50 ASTM A572.</v>
          </cell>
          <cell r="C437" t="str">
            <v>HL 38x4,8</v>
          </cell>
          <cell r="D437">
            <v>2.67</v>
          </cell>
          <cell r="E437">
            <v>2.67</v>
          </cell>
          <cell r="F437">
            <v>38.099999999999994</v>
          </cell>
          <cell r="G437">
            <v>38.099999999999994</v>
          </cell>
          <cell r="H437">
            <v>4.7624999999999993</v>
          </cell>
          <cell r="K437">
            <v>152.39999999999998</v>
          </cell>
          <cell r="O437" t="str">
            <v>A572 G50</v>
          </cell>
          <cell r="P437" t="str">
            <v>S</v>
          </cell>
        </row>
        <row r="438">
          <cell r="A438">
            <v>437</v>
          </cell>
          <cell r="B438" t="str">
            <v>"L" PERFIL GRADO 50 ASTM A572.</v>
          </cell>
          <cell r="C438" t="str">
            <v>HL 38x6,4</v>
          </cell>
          <cell r="D438">
            <v>3.48</v>
          </cell>
          <cell r="E438">
            <v>3.48</v>
          </cell>
          <cell r="F438">
            <v>38.099999999999994</v>
          </cell>
          <cell r="G438">
            <v>38.099999999999994</v>
          </cell>
          <cell r="H438">
            <v>6.35</v>
          </cell>
          <cell r="K438">
            <v>152.39999999999998</v>
          </cell>
          <cell r="O438" t="str">
            <v>A572 G50</v>
          </cell>
          <cell r="P438" t="str">
            <v>N</v>
          </cell>
        </row>
        <row r="439">
          <cell r="A439">
            <v>438</v>
          </cell>
          <cell r="B439" t="str">
            <v>"L" PERFIL GRADO 50 ASTM A572.</v>
          </cell>
          <cell r="C439" t="str">
            <v>HL 44x3,2</v>
          </cell>
          <cell r="D439">
            <v>2.14</v>
          </cell>
          <cell r="E439">
            <v>2.14</v>
          </cell>
          <cell r="F439">
            <v>44.449999999999996</v>
          </cell>
          <cell r="G439">
            <v>44.449999999999996</v>
          </cell>
          <cell r="H439">
            <v>3.1749999999999998</v>
          </cell>
          <cell r="K439">
            <v>177.79999999999998</v>
          </cell>
          <cell r="O439" t="str">
            <v>A572 G50</v>
          </cell>
          <cell r="P439" t="str">
            <v>S</v>
          </cell>
        </row>
        <row r="440">
          <cell r="A440">
            <v>439</v>
          </cell>
          <cell r="B440" t="str">
            <v>"L" PERFIL GRADO 50 ASTM A572.</v>
          </cell>
          <cell r="C440" t="str">
            <v>HL 44x4,8</v>
          </cell>
          <cell r="D440">
            <v>3.15</v>
          </cell>
          <cell r="E440">
            <v>3.15</v>
          </cell>
          <cell r="F440">
            <v>44.449999999999996</v>
          </cell>
          <cell r="G440">
            <v>44.449999999999996</v>
          </cell>
          <cell r="H440">
            <v>4.7624999999999993</v>
          </cell>
          <cell r="K440">
            <v>177.79999999999998</v>
          </cell>
          <cell r="O440" t="str">
            <v>A572 G50</v>
          </cell>
          <cell r="P440" t="str">
            <v>S</v>
          </cell>
        </row>
        <row r="441">
          <cell r="A441">
            <v>440</v>
          </cell>
          <cell r="B441" t="str">
            <v>"L" PERFIL GRADO 50 ASTM A572.</v>
          </cell>
          <cell r="C441" t="str">
            <v>HL 44x6,4</v>
          </cell>
          <cell r="D441">
            <v>4.12</v>
          </cell>
          <cell r="E441">
            <v>4.12</v>
          </cell>
          <cell r="F441">
            <v>44.449999999999996</v>
          </cell>
          <cell r="G441">
            <v>44.449999999999996</v>
          </cell>
          <cell r="H441">
            <v>6.35</v>
          </cell>
          <cell r="K441">
            <v>177.79999999999995</v>
          </cell>
          <cell r="O441" t="str">
            <v>A572 G50</v>
          </cell>
          <cell r="P441" t="str">
            <v>N</v>
          </cell>
        </row>
        <row r="442">
          <cell r="A442">
            <v>441</v>
          </cell>
          <cell r="B442" t="str">
            <v>"L" PERFIL GRADO 50 ASTM A572.</v>
          </cell>
          <cell r="C442" t="str">
            <v>HL 51x3,2</v>
          </cell>
          <cell r="D442">
            <v>2.46</v>
          </cell>
          <cell r="E442">
            <v>2.46</v>
          </cell>
          <cell r="F442">
            <v>50.8</v>
          </cell>
          <cell r="G442">
            <v>50.8</v>
          </cell>
          <cell r="H442">
            <v>3.1749999999999998</v>
          </cell>
          <cell r="K442">
            <v>203.2</v>
          </cell>
          <cell r="O442" t="str">
            <v>A572 G50</v>
          </cell>
          <cell r="P442" t="str">
            <v>S</v>
          </cell>
        </row>
        <row r="443">
          <cell r="A443">
            <v>442</v>
          </cell>
          <cell r="B443" t="str">
            <v>"L" PERFIL GRADO 50 ASTM A572.</v>
          </cell>
          <cell r="C443" t="str">
            <v>HL 51x4,8</v>
          </cell>
          <cell r="D443">
            <v>3.62</v>
          </cell>
          <cell r="E443">
            <v>3.62</v>
          </cell>
          <cell r="F443">
            <v>50.8</v>
          </cell>
          <cell r="G443">
            <v>50.8</v>
          </cell>
          <cell r="H443">
            <v>4.7624999999999993</v>
          </cell>
          <cell r="K443">
            <v>203.2</v>
          </cell>
          <cell r="O443" t="str">
            <v>A572 G50</v>
          </cell>
          <cell r="P443" t="str">
            <v>S</v>
          </cell>
        </row>
        <row r="444">
          <cell r="A444">
            <v>443</v>
          </cell>
          <cell r="B444" t="str">
            <v>"L" PERFIL GRADO 50 ASTM A572.</v>
          </cell>
          <cell r="C444" t="str">
            <v>HL 51x6,4</v>
          </cell>
          <cell r="D444">
            <v>4.75</v>
          </cell>
          <cell r="E444">
            <v>4.75</v>
          </cell>
          <cell r="F444">
            <v>50.8</v>
          </cell>
          <cell r="G444">
            <v>50.8</v>
          </cell>
          <cell r="H444">
            <v>6.35</v>
          </cell>
          <cell r="K444">
            <v>203.19999999999996</v>
          </cell>
          <cell r="M444" t="str">
            <v>12.04.40.758.00</v>
          </cell>
          <cell r="O444" t="str">
            <v>A572 G50</v>
          </cell>
          <cell r="P444" t="str">
            <v>S</v>
          </cell>
        </row>
        <row r="445">
          <cell r="A445">
            <v>444</v>
          </cell>
          <cell r="B445" t="str">
            <v>"L" PERFIL GRADO 50 ASTM A572.</v>
          </cell>
          <cell r="C445" t="str">
            <v>HL 64x4,8</v>
          </cell>
          <cell r="D445">
            <v>4.57</v>
          </cell>
          <cell r="E445">
            <v>4.57</v>
          </cell>
          <cell r="F445">
            <v>63.5</v>
          </cell>
          <cell r="G445">
            <v>63.5</v>
          </cell>
          <cell r="H445">
            <v>4.7624999999999993</v>
          </cell>
          <cell r="K445">
            <v>254.00000000000003</v>
          </cell>
          <cell r="M445" t="str">
            <v>12.04.40.770.00</v>
          </cell>
          <cell r="O445" t="str">
            <v>A572 G50</v>
          </cell>
          <cell r="P445" t="str">
            <v>S</v>
          </cell>
        </row>
        <row r="446">
          <cell r="A446">
            <v>445</v>
          </cell>
          <cell r="B446" t="str">
            <v>"L" PERFIL GRADO 50 ASTM A572.</v>
          </cell>
          <cell r="C446" t="str">
            <v>HL 64x6,4</v>
          </cell>
          <cell r="D446">
            <v>6.01</v>
          </cell>
          <cell r="E446">
            <v>6.01</v>
          </cell>
          <cell r="F446">
            <v>63.5</v>
          </cell>
          <cell r="G446">
            <v>63.5</v>
          </cell>
          <cell r="H446">
            <v>6.35</v>
          </cell>
          <cell r="K446">
            <v>254</v>
          </cell>
          <cell r="M446" t="str">
            <v>12.04.40.774.00</v>
          </cell>
          <cell r="O446" t="str">
            <v>A572 G50</v>
          </cell>
          <cell r="P446" t="str">
            <v>S</v>
          </cell>
        </row>
        <row r="447">
          <cell r="A447">
            <v>446</v>
          </cell>
          <cell r="B447" t="str">
            <v>"L" PERFIL GRADO 50 ASTM A572.</v>
          </cell>
          <cell r="C447" t="str">
            <v>HL 76x4,8</v>
          </cell>
          <cell r="D447">
            <v>5.52</v>
          </cell>
          <cell r="E447">
            <v>5.52</v>
          </cell>
          <cell r="F447">
            <v>76.199999999999989</v>
          </cell>
          <cell r="G447">
            <v>76.199999999999989</v>
          </cell>
          <cell r="H447">
            <v>4.7624999999999993</v>
          </cell>
          <cell r="K447">
            <v>304.79999999999995</v>
          </cell>
          <cell r="O447" t="str">
            <v>A572 G50</v>
          </cell>
          <cell r="P447" t="str">
            <v>S</v>
          </cell>
        </row>
        <row r="448">
          <cell r="A448">
            <v>447</v>
          </cell>
          <cell r="B448" t="str">
            <v>"L" PERFIL GRADO 50 ASTM A572.</v>
          </cell>
          <cell r="C448" t="str">
            <v>HL 76x6,4</v>
          </cell>
          <cell r="D448">
            <v>7.28</v>
          </cell>
          <cell r="E448">
            <v>7.28</v>
          </cell>
          <cell r="F448">
            <v>76.199999999999989</v>
          </cell>
          <cell r="G448">
            <v>76.199999999999989</v>
          </cell>
          <cell r="H448">
            <v>6.35</v>
          </cell>
          <cell r="K448">
            <v>304.79999999999995</v>
          </cell>
          <cell r="O448" t="str">
            <v>A572 G50</v>
          </cell>
          <cell r="P448" t="str">
            <v>S</v>
          </cell>
        </row>
        <row r="449">
          <cell r="A449">
            <v>448</v>
          </cell>
          <cell r="B449" t="str">
            <v>"L" PERFIL GRADO 50 ASTM A572.</v>
          </cell>
          <cell r="C449" t="str">
            <v>HL 76x7.9</v>
          </cell>
          <cell r="D449">
            <v>9</v>
          </cell>
          <cell r="E449">
            <v>9</v>
          </cell>
          <cell r="F449">
            <v>76.199999999999989</v>
          </cell>
          <cell r="G449">
            <v>76.199999999999989</v>
          </cell>
          <cell r="H449">
            <v>7.9375</v>
          </cell>
          <cell r="K449">
            <v>304.79999999999995</v>
          </cell>
          <cell r="M449" t="str">
            <v>12.04.40.798.00</v>
          </cell>
          <cell r="O449" t="str">
            <v>A572 G50</v>
          </cell>
          <cell r="P449" t="str">
            <v>S</v>
          </cell>
        </row>
        <row r="450">
          <cell r="A450">
            <v>449</v>
          </cell>
          <cell r="B450" t="str">
            <v>"L" PERFIL GRADO 50 ASTM A572.</v>
          </cell>
          <cell r="C450" t="str">
            <v>HL 76x9.5</v>
          </cell>
          <cell r="D450">
            <v>10.7</v>
          </cell>
          <cell r="E450">
            <v>10.7</v>
          </cell>
          <cell r="F450">
            <v>76.199999999999989</v>
          </cell>
          <cell r="G450">
            <v>76.199999999999989</v>
          </cell>
          <cell r="H450">
            <v>9.5249999999999986</v>
          </cell>
          <cell r="K450">
            <v>304.79999999999995</v>
          </cell>
          <cell r="O450" t="str">
            <v>A572 G50</v>
          </cell>
          <cell r="P450" t="str">
            <v>S</v>
          </cell>
        </row>
        <row r="451">
          <cell r="A451">
            <v>450</v>
          </cell>
          <cell r="B451" t="str">
            <v>"L" PERFIL GRADO 50 ASTM A572.</v>
          </cell>
          <cell r="C451" t="str">
            <v>HL 89x89x5.4</v>
          </cell>
          <cell r="D451">
            <v>7.32</v>
          </cell>
          <cell r="E451">
            <v>7.32</v>
          </cell>
          <cell r="F451">
            <v>89</v>
          </cell>
          <cell r="G451">
            <v>89</v>
          </cell>
          <cell r="H451">
            <v>5.4</v>
          </cell>
          <cell r="K451">
            <v>356.00000000000006</v>
          </cell>
          <cell r="L451">
            <v>932.04000000000008</v>
          </cell>
          <cell r="O451" t="str">
            <v>A572 G50</v>
          </cell>
          <cell r="P451" t="str">
            <v>AE</v>
          </cell>
        </row>
        <row r="452">
          <cell r="A452">
            <v>451</v>
          </cell>
          <cell r="B452" t="str">
            <v>"L" PERFIL GRADO 50 ASTM A572.</v>
          </cell>
          <cell r="C452" t="str">
            <v>HL 89x89x6.4</v>
          </cell>
          <cell r="D452">
            <v>8.5500000000000007</v>
          </cell>
          <cell r="E452">
            <v>8.5500000000000007</v>
          </cell>
          <cell r="F452">
            <v>89</v>
          </cell>
          <cell r="G452">
            <v>89</v>
          </cell>
          <cell r="H452">
            <v>6.4</v>
          </cell>
          <cell r="K452">
            <v>356.00000000000006</v>
          </cell>
          <cell r="L452">
            <v>1098.24</v>
          </cell>
          <cell r="O452" t="str">
            <v>A572 G50</v>
          </cell>
          <cell r="P452" t="str">
            <v>AE</v>
          </cell>
        </row>
        <row r="453">
          <cell r="A453">
            <v>452</v>
          </cell>
          <cell r="B453" t="str">
            <v>"L" PERFIL GRADO 50 ASTM A572.</v>
          </cell>
          <cell r="C453" t="str">
            <v>HL 89x89x7.9</v>
          </cell>
          <cell r="D453">
            <v>10.6</v>
          </cell>
          <cell r="E453">
            <v>10.6</v>
          </cell>
          <cell r="F453">
            <v>89</v>
          </cell>
          <cell r="G453">
            <v>89</v>
          </cell>
          <cell r="H453">
            <v>7.9</v>
          </cell>
          <cell r="K453">
            <v>356.00000000000006</v>
          </cell>
          <cell r="L453">
            <v>1343.79</v>
          </cell>
          <cell r="O453" t="str">
            <v>A572 G50</v>
          </cell>
          <cell r="P453" t="str">
            <v>AE</v>
          </cell>
        </row>
        <row r="454">
          <cell r="A454">
            <v>453</v>
          </cell>
          <cell r="B454" t="str">
            <v>"L" PERFIL GRADO 50 ASTM A572.</v>
          </cell>
          <cell r="C454" t="str">
            <v>HL 89x89x9.5</v>
          </cell>
          <cell r="D454">
            <v>12.6</v>
          </cell>
          <cell r="E454">
            <v>12.6</v>
          </cell>
          <cell r="F454">
            <v>89</v>
          </cell>
          <cell r="G454">
            <v>89</v>
          </cell>
          <cell r="H454">
            <v>9.5249999999999986</v>
          </cell>
          <cell r="K454">
            <v>356.00000000000006</v>
          </cell>
          <cell r="L454">
            <v>1600.75</v>
          </cell>
          <cell r="O454" t="str">
            <v>A572 G50</v>
          </cell>
          <cell r="P454" t="str">
            <v>AE</v>
          </cell>
        </row>
        <row r="455">
          <cell r="A455">
            <v>454</v>
          </cell>
          <cell r="B455" t="str">
            <v>"L" PERFIL GRADO 50 ASTM A572.</v>
          </cell>
          <cell r="C455" t="str">
            <v>HL 102x6,4</v>
          </cell>
          <cell r="D455">
            <v>9.85</v>
          </cell>
          <cell r="E455">
            <v>9.85</v>
          </cell>
          <cell r="F455">
            <v>101.6</v>
          </cell>
          <cell r="G455">
            <v>102</v>
          </cell>
          <cell r="H455">
            <v>6.4</v>
          </cell>
          <cell r="K455">
            <v>407.2</v>
          </cell>
          <cell r="O455" t="str">
            <v>A572 G50</v>
          </cell>
          <cell r="P455" t="str">
            <v>S</v>
          </cell>
        </row>
        <row r="456">
          <cell r="A456">
            <v>455</v>
          </cell>
          <cell r="B456" t="str">
            <v>"L" PERFIL GRADO 50 ASTM A572.</v>
          </cell>
          <cell r="C456" t="str">
            <v>HL 102x7.9</v>
          </cell>
          <cell r="D456">
            <v>12.2</v>
          </cell>
          <cell r="E456">
            <v>12.2</v>
          </cell>
          <cell r="F456">
            <v>101.6</v>
          </cell>
          <cell r="G456">
            <v>101.6</v>
          </cell>
          <cell r="H456">
            <v>7.9</v>
          </cell>
          <cell r="K456">
            <v>406.4</v>
          </cell>
          <cell r="O456" t="str">
            <v>A572 G50</v>
          </cell>
          <cell r="P456" t="str">
            <v>S</v>
          </cell>
        </row>
        <row r="457">
          <cell r="A457">
            <v>456</v>
          </cell>
          <cell r="B457" t="str">
            <v>"L" PERFIL GRADO 50 ASTM A572.</v>
          </cell>
          <cell r="C457" t="str">
            <v>HL 102x9.5</v>
          </cell>
          <cell r="D457">
            <v>14.5</v>
          </cell>
          <cell r="E457">
            <v>14.5</v>
          </cell>
          <cell r="F457">
            <v>101.6</v>
          </cell>
          <cell r="G457">
            <v>101.6</v>
          </cell>
          <cell r="H457">
            <v>9.5249999999999986</v>
          </cell>
          <cell r="K457">
            <v>406.4</v>
          </cell>
          <cell r="O457" t="str">
            <v>A572 G50</v>
          </cell>
          <cell r="P457" t="str">
            <v>S</v>
          </cell>
        </row>
        <row r="458">
          <cell r="A458">
            <v>457</v>
          </cell>
          <cell r="B458" t="str">
            <v>"L" PERFIL GRADO 50 ASTM A572.</v>
          </cell>
          <cell r="C458" t="str">
            <v>HL 102x12,7</v>
          </cell>
          <cell r="D458">
            <v>19</v>
          </cell>
          <cell r="E458">
            <v>19</v>
          </cell>
          <cell r="F458">
            <v>101.6</v>
          </cell>
          <cell r="G458">
            <v>101.6</v>
          </cell>
          <cell r="H458">
            <v>12.7</v>
          </cell>
          <cell r="K458">
            <v>406.39999999999992</v>
          </cell>
          <cell r="M458" t="str">
            <v>12.04.40.850.00</v>
          </cell>
          <cell r="O458" t="str">
            <v>A572 G50</v>
          </cell>
          <cell r="P458" t="str">
            <v>S</v>
          </cell>
        </row>
        <row r="459">
          <cell r="A459">
            <v>458</v>
          </cell>
          <cell r="B459" t="str">
            <v>"L" PERFIL GRADO 50 ASTM A572.</v>
          </cell>
          <cell r="C459" t="str">
            <v>HL 102x16</v>
          </cell>
          <cell r="D459">
            <v>23.4</v>
          </cell>
          <cell r="E459">
            <v>23.4</v>
          </cell>
          <cell r="F459">
            <v>101.6</v>
          </cell>
          <cell r="G459">
            <v>101.6</v>
          </cell>
          <cell r="H459">
            <v>15.875</v>
          </cell>
          <cell r="K459">
            <v>406.4</v>
          </cell>
          <cell r="O459" t="str">
            <v>A572 G50</v>
          </cell>
          <cell r="P459" t="str">
            <v>S</v>
          </cell>
        </row>
        <row r="460">
          <cell r="A460">
            <v>459</v>
          </cell>
          <cell r="B460" t="str">
            <v>"L" PERFIL GRADO 50 ASTM A572.</v>
          </cell>
          <cell r="C460" t="str">
            <v>HL 102x19</v>
          </cell>
          <cell r="D460">
            <v>27.6</v>
          </cell>
          <cell r="E460">
            <v>27.6</v>
          </cell>
          <cell r="F460">
            <v>101.6</v>
          </cell>
          <cell r="G460">
            <v>101.6</v>
          </cell>
          <cell r="H460">
            <v>19.049999999999997</v>
          </cell>
          <cell r="K460">
            <v>406.4</v>
          </cell>
          <cell r="O460" t="str">
            <v>A572 G50</v>
          </cell>
          <cell r="P460" t="str">
            <v>S</v>
          </cell>
        </row>
        <row r="461">
          <cell r="A461">
            <v>460</v>
          </cell>
          <cell r="B461" t="str">
            <v>"L" PERFIL GRADO 50 ASTM A572.</v>
          </cell>
          <cell r="C461" t="str">
            <v>HL 127x7.9</v>
          </cell>
          <cell r="D461">
            <v>15.326400000000001</v>
          </cell>
          <cell r="E461">
            <v>15.326400000000001</v>
          </cell>
          <cell r="F461">
            <v>127</v>
          </cell>
          <cell r="G461">
            <v>127</v>
          </cell>
          <cell r="H461">
            <v>7.9375</v>
          </cell>
          <cell r="K461">
            <v>508</v>
          </cell>
          <cell r="M461" t="str">
            <v>12.04.40.862.00</v>
          </cell>
          <cell r="O461" t="str">
            <v>A572 G50</v>
          </cell>
          <cell r="P461" t="str">
            <v>S</v>
          </cell>
        </row>
        <row r="462">
          <cell r="A462">
            <v>461</v>
          </cell>
          <cell r="B462" t="str">
            <v>"L" PERFIL GRADO 50 ASTM A572.</v>
          </cell>
          <cell r="C462" t="str">
            <v>HL 127x9.5</v>
          </cell>
          <cell r="D462">
            <v>18.302400000000002</v>
          </cell>
          <cell r="E462">
            <v>18.302400000000002</v>
          </cell>
          <cell r="F462">
            <v>127</v>
          </cell>
          <cell r="G462">
            <v>127</v>
          </cell>
          <cell r="H462">
            <v>9.5249999999999986</v>
          </cell>
          <cell r="K462">
            <v>508.00000000000006</v>
          </cell>
          <cell r="O462" t="str">
            <v>A572 G50</v>
          </cell>
          <cell r="P462" t="str">
            <v>S</v>
          </cell>
        </row>
        <row r="463">
          <cell r="A463">
            <v>462</v>
          </cell>
          <cell r="B463" t="str">
            <v>"L" PERFIL GRADO 50 ASTM A572.</v>
          </cell>
          <cell r="C463" t="str">
            <v>HL 127x11,1</v>
          </cell>
          <cell r="D463">
            <v>21.278400000000001</v>
          </cell>
          <cell r="E463">
            <v>21.278400000000001</v>
          </cell>
          <cell r="F463">
            <v>127</v>
          </cell>
          <cell r="G463">
            <v>127</v>
          </cell>
          <cell r="H463">
            <v>11.112499999999999</v>
          </cell>
          <cell r="K463">
            <v>508</v>
          </cell>
          <cell r="O463" t="str">
            <v>A572 G50</v>
          </cell>
          <cell r="P463" t="str">
            <v>S</v>
          </cell>
        </row>
        <row r="464">
          <cell r="A464">
            <v>463</v>
          </cell>
          <cell r="B464" t="str">
            <v>"L" PERFIL GRADO 50 ASTM A572.</v>
          </cell>
          <cell r="C464" t="str">
            <v>HL 127x12,7</v>
          </cell>
          <cell r="D464">
            <v>24.105599999999999</v>
          </cell>
          <cell r="E464">
            <v>24.105599999999999</v>
          </cell>
          <cell r="F464">
            <v>127</v>
          </cell>
          <cell r="G464">
            <v>127</v>
          </cell>
          <cell r="H464">
            <v>12.7</v>
          </cell>
          <cell r="K464">
            <v>508</v>
          </cell>
          <cell r="M464" t="str">
            <v>12.04.40.874.00</v>
          </cell>
          <cell r="N464">
            <v>12000</v>
          </cell>
          <cell r="O464" t="str">
            <v>A572 G50</v>
          </cell>
          <cell r="P464" t="str">
            <v>S</v>
          </cell>
        </row>
        <row r="465">
          <cell r="A465">
            <v>464</v>
          </cell>
          <cell r="B465" t="str">
            <v>"L" PERFIL GRADO 50 ASTM A572.</v>
          </cell>
          <cell r="C465" t="str">
            <v>HL 127x16</v>
          </cell>
          <cell r="D465">
            <v>29.8</v>
          </cell>
          <cell r="E465">
            <v>29.8</v>
          </cell>
          <cell r="F465">
            <v>127</v>
          </cell>
          <cell r="G465">
            <v>127</v>
          </cell>
          <cell r="H465">
            <v>15.875</v>
          </cell>
          <cell r="K465">
            <v>508</v>
          </cell>
          <cell r="O465" t="str">
            <v>A572 G50</v>
          </cell>
          <cell r="P465" t="str">
            <v>S</v>
          </cell>
        </row>
        <row r="466">
          <cell r="A466">
            <v>465</v>
          </cell>
          <cell r="B466" t="str">
            <v>"L" PERFIL GRADO 50 ASTM A572.</v>
          </cell>
          <cell r="C466" t="str">
            <v>HL 127x19</v>
          </cell>
          <cell r="D466">
            <v>35.1</v>
          </cell>
          <cell r="E466">
            <v>35.1</v>
          </cell>
          <cell r="F466">
            <v>127</v>
          </cell>
          <cell r="G466">
            <v>127</v>
          </cell>
          <cell r="H466">
            <v>19.049999999999997</v>
          </cell>
          <cell r="K466">
            <v>508</v>
          </cell>
          <cell r="O466" t="str">
            <v>A572 G50</v>
          </cell>
          <cell r="P466" t="str">
            <v>S</v>
          </cell>
        </row>
        <row r="467">
          <cell r="A467">
            <v>466</v>
          </cell>
          <cell r="B467" t="str">
            <v>"L" PERFIL GRADO 50 ASTM A572.</v>
          </cell>
          <cell r="C467" t="str">
            <v>HL 127x22</v>
          </cell>
          <cell r="D467">
            <v>40.5</v>
          </cell>
          <cell r="E467">
            <v>40.5</v>
          </cell>
          <cell r="F467">
            <v>127</v>
          </cell>
          <cell r="G467">
            <v>127</v>
          </cell>
          <cell r="H467">
            <v>22.224999999999998</v>
          </cell>
          <cell r="K467">
            <v>507.99999999999994</v>
          </cell>
          <cell r="O467" t="str">
            <v>A572 G50</v>
          </cell>
          <cell r="P467" t="str">
            <v>S</v>
          </cell>
        </row>
        <row r="468">
          <cell r="A468">
            <v>467</v>
          </cell>
          <cell r="B468" t="str">
            <v>"L" PERFIL GRADO 50 ASTM A572.</v>
          </cell>
          <cell r="C468" t="str">
            <v>HL 152x7.9</v>
          </cell>
          <cell r="D468">
            <v>18.4512</v>
          </cell>
          <cell r="E468">
            <v>18.4512</v>
          </cell>
          <cell r="F468">
            <v>152.39999999999998</v>
          </cell>
          <cell r="G468">
            <v>152.39999999999998</v>
          </cell>
          <cell r="H468">
            <v>7.9375</v>
          </cell>
          <cell r="K468">
            <v>609.59999999999991</v>
          </cell>
          <cell r="O468" t="str">
            <v>A572 G50</v>
          </cell>
          <cell r="P468" t="str">
            <v>S</v>
          </cell>
        </row>
        <row r="469">
          <cell r="A469">
            <v>468</v>
          </cell>
          <cell r="B469" t="str">
            <v>"L" PERFIL GRADO 50 ASTM A572.</v>
          </cell>
          <cell r="C469" t="str">
            <v>HL 152x9.5</v>
          </cell>
          <cell r="D469">
            <v>22</v>
          </cell>
          <cell r="E469">
            <v>22</v>
          </cell>
          <cell r="F469">
            <v>152.39999999999998</v>
          </cell>
          <cell r="G469">
            <v>152.39999999999998</v>
          </cell>
          <cell r="H469">
            <v>9.5249999999999986</v>
          </cell>
          <cell r="K469">
            <v>609.59999999999991</v>
          </cell>
          <cell r="O469" t="str">
            <v>A572 G50</v>
          </cell>
          <cell r="P469" t="str">
            <v>S</v>
          </cell>
        </row>
        <row r="470">
          <cell r="A470">
            <v>469</v>
          </cell>
          <cell r="B470" t="str">
            <v>"L" PERFIL GRADO 50 ASTM A572.</v>
          </cell>
          <cell r="C470" t="str">
            <v>HL 152x11,1</v>
          </cell>
          <cell r="D470">
            <v>25.6</v>
          </cell>
          <cell r="E470">
            <v>25.6</v>
          </cell>
          <cell r="F470">
            <v>152.39999999999998</v>
          </cell>
          <cell r="G470">
            <v>152.39999999999998</v>
          </cell>
          <cell r="H470">
            <v>11.112499999999999</v>
          </cell>
          <cell r="K470">
            <v>609.59999999999991</v>
          </cell>
          <cell r="O470" t="str">
            <v>A572 G50</v>
          </cell>
          <cell r="P470" t="str">
            <v>S</v>
          </cell>
        </row>
        <row r="471">
          <cell r="A471">
            <v>470</v>
          </cell>
          <cell r="B471" t="str">
            <v>"L" PERFIL GRADO 50 ASTM A572.</v>
          </cell>
          <cell r="C471" t="str">
            <v>HL 152x12.7</v>
          </cell>
          <cell r="D471">
            <v>29.2</v>
          </cell>
          <cell r="E471">
            <v>29.2</v>
          </cell>
          <cell r="F471">
            <v>152.39999999999998</v>
          </cell>
          <cell r="G471">
            <v>152.39999999999998</v>
          </cell>
          <cell r="H471">
            <v>12.7</v>
          </cell>
          <cell r="K471">
            <v>609.59999999999991</v>
          </cell>
          <cell r="O471" t="str">
            <v>A572 G50</v>
          </cell>
          <cell r="P471" t="str">
            <v>S</v>
          </cell>
        </row>
        <row r="472">
          <cell r="A472">
            <v>471</v>
          </cell>
          <cell r="B472" t="str">
            <v>"L" PERFIL GRADO 50 ASTM A572.</v>
          </cell>
          <cell r="C472" t="str">
            <v>HL 152x14</v>
          </cell>
          <cell r="D472">
            <v>32.6</v>
          </cell>
          <cell r="E472">
            <v>32.6</v>
          </cell>
          <cell r="F472">
            <v>152.39999999999998</v>
          </cell>
          <cell r="G472">
            <v>152.39999999999998</v>
          </cell>
          <cell r="H472">
            <v>15.875</v>
          </cell>
          <cell r="K472">
            <v>609.59999999999991</v>
          </cell>
          <cell r="O472" t="str">
            <v>A572 G50</v>
          </cell>
          <cell r="P472" t="str">
            <v>S</v>
          </cell>
        </row>
        <row r="473">
          <cell r="A473">
            <v>472</v>
          </cell>
          <cell r="B473" t="str">
            <v>"L" PERFIL GRADO 50 ASTM A572.</v>
          </cell>
          <cell r="C473" t="str">
            <v>HL 152x16</v>
          </cell>
          <cell r="D473">
            <v>36</v>
          </cell>
          <cell r="E473">
            <v>36</v>
          </cell>
          <cell r="F473">
            <v>152.39999999999998</v>
          </cell>
          <cell r="G473">
            <v>152.39999999999998</v>
          </cell>
          <cell r="H473">
            <v>19.049999999999997</v>
          </cell>
          <cell r="K473">
            <v>609.59999999999991</v>
          </cell>
          <cell r="O473" t="str">
            <v>A572 G50</v>
          </cell>
          <cell r="P473" t="str">
            <v>S</v>
          </cell>
        </row>
        <row r="474">
          <cell r="A474">
            <v>473</v>
          </cell>
          <cell r="B474" t="str">
            <v>"L" PERFIL GRADO 50 ASTM A572.</v>
          </cell>
          <cell r="C474" t="str">
            <v>HL 152x22</v>
          </cell>
          <cell r="D474">
            <v>49.3</v>
          </cell>
          <cell r="E474">
            <v>49.3</v>
          </cell>
          <cell r="F474">
            <v>152.39999999999998</v>
          </cell>
          <cell r="G474">
            <v>152.39999999999998</v>
          </cell>
          <cell r="H474">
            <v>22.224999999999998</v>
          </cell>
          <cell r="K474">
            <v>609.59999999999991</v>
          </cell>
          <cell r="O474" t="str">
            <v>A572 G50</v>
          </cell>
          <cell r="P474" t="str">
            <v>S</v>
          </cell>
        </row>
        <row r="475">
          <cell r="A475">
            <v>474</v>
          </cell>
          <cell r="B475" t="str">
            <v>"L" PERFIL GRADO 50 ASTM A572.</v>
          </cell>
          <cell r="C475" t="str">
            <v>HL 152x25,4</v>
          </cell>
          <cell r="D475">
            <v>55.7</v>
          </cell>
          <cell r="E475">
            <v>55.7</v>
          </cell>
          <cell r="F475">
            <v>152.39999999999998</v>
          </cell>
          <cell r="G475">
            <v>152.39999999999998</v>
          </cell>
          <cell r="H475">
            <v>25.4</v>
          </cell>
          <cell r="K475">
            <v>609.59999999999991</v>
          </cell>
          <cell r="O475" t="str">
            <v>A572 G50</v>
          </cell>
          <cell r="P475" t="str">
            <v>S</v>
          </cell>
        </row>
        <row r="476">
          <cell r="A476">
            <v>475</v>
          </cell>
          <cell r="B476" t="str">
            <v>"L" PERFIL GRADO 50 ASTM A572.</v>
          </cell>
          <cell r="C476" t="str">
            <v>HL 203x203x19</v>
          </cell>
          <cell r="D476">
            <v>57.7</v>
          </cell>
          <cell r="E476">
            <v>57.7</v>
          </cell>
          <cell r="F476">
            <v>203</v>
          </cell>
          <cell r="G476">
            <v>203</v>
          </cell>
          <cell r="H476">
            <v>19</v>
          </cell>
          <cell r="K476">
            <v>812</v>
          </cell>
          <cell r="L476">
            <v>7353</v>
          </cell>
          <cell r="O476" t="str">
            <v>A572 G50</v>
          </cell>
          <cell r="P476" t="str">
            <v>AE</v>
          </cell>
        </row>
        <row r="477">
          <cell r="A477">
            <v>476</v>
          </cell>
          <cell r="B477" t="str">
            <v>"L" PERFIL ANGULAR LAMINADO A572</v>
          </cell>
          <cell r="C477" t="str">
            <v>L 20x2</v>
          </cell>
          <cell r="D477">
            <v>0.60333333333333339</v>
          </cell>
          <cell r="E477">
            <v>0.60333333333333339</v>
          </cell>
          <cell r="F477" t="str">
            <v>20</v>
          </cell>
          <cell r="G477" t="str">
            <v>20</v>
          </cell>
          <cell r="H477" t="str">
            <v>2</v>
          </cell>
          <cell r="K477">
            <v>80</v>
          </cell>
          <cell r="L477">
            <v>76</v>
          </cell>
          <cell r="O477" t="str">
            <v>A572 G50</v>
          </cell>
          <cell r="P477" t="str">
            <v>N</v>
          </cell>
        </row>
        <row r="478">
          <cell r="A478">
            <v>477</v>
          </cell>
          <cell r="B478" t="str">
            <v>"L" PERFIL ANGULAR LAMINADO A572</v>
          </cell>
          <cell r="C478" t="str">
            <v>L 20x3</v>
          </cell>
          <cell r="D478">
            <v>0.88</v>
          </cell>
          <cell r="E478">
            <v>0.88</v>
          </cell>
          <cell r="F478" t="str">
            <v>20</v>
          </cell>
          <cell r="G478" t="str">
            <v>20</v>
          </cell>
          <cell r="H478" t="str">
            <v>3</v>
          </cell>
          <cell r="K478">
            <v>80</v>
          </cell>
          <cell r="L478">
            <v>112.99999999999999</v>
          </cell>
          <cell r="O478" t="str">
            <v>A572 G50</v>
          </cell>
          <cell r="P478" t="str">
            <v>N</v>
          </cell>
        </row>
        <row r="479">
          <cell r="A479">
            <v>478</v>
          </cell>
          <cell r="B479" t="str">
            <v>"L" PERFIL ANGULAR LAMINADO A572</v>
          </cell>
          <cell r="C479" t="str">
            <v>L 25x2</v>
          </cell>
          <cell r="D479">
            <v>0.7599999999999999</v>
          </cell>
          <cell r="E479">
            <v>0.7599999999999999</v>
          </cell>
          <cell r="F479" t="str">
            <v>25</v>
          </cell>
          <cell r="G479" t="str">
            <v>25</v>
          </cell>
          <cell r="H479" t="str">
            <v>2</v>
          </cell>
          <cell r="K479">
            <v>100</v>
          </cell>
          <cell r="L479">
            <v>96</v>
          </cell>
          <cell r="O479" t="str">
            <v>A572 G50</v>
          </cell>
          <cell r="P479" t="str">
            <v>NS</v>
          </cell>
        </row>
        <row r="480">
          <cell r="A480">
            <v>479</v>
          </cell>
          <cell r="B480" t="str">
            <v>"L" PERFIL ANGULAR LAMINADO A572</v>
          </cell>
          <cell r="C480" t="str">
            <v>L 25x3</v>
          </cell>
          <cell r="D480">
            <v>1.1199999999999999</v>
          </cell>
          <cell r="E480">
            <v>1.1199999999999999</v>
          </cell>
          <cell r="F480" t="str">
            <v>25</v>
          </cell>
          <cell r="G480" t="str">
            <v>25</v>
          </cell>
          <cell r="H480" t="str">
            <v>3</v>
          </cell>
          <cell r="K480">
            <v>100</v>
          </cell>
          <cell r="L480">
            <v>143</v>
          </cell>
          <cell r="O480" t="str">
            <v>A572 G50</v>
          </cell>
          <cell r="P480" t="str">
            <v>S</v>
          </cell>
        </row>
        <row r="481">
          <cell r="A481">
            <v>480</v>
          </cell>
          <cell r="B481" t="str">
            <v>"L" PERFIL ANGULAR LAMINADO A572</v>
          </cell>
          <cell r="C481" t="str">
            <v>L 25x4</v>
          </cell>
          <cell r="D481">
            <v>1.45</v>
          </cell>
          <cell r="E481">
            <v>1.45</v>
          </cell>
          <cell r="F481" t="str">
            <v>25</v>
          </cell>
          <cell r="G481" t="str">
            <v>25</v>
          </cell>
          <cell r="H481" t="str">
            <v>4</v>
          </cell>
          <cell r="K481">
            <v>100</v>
          </cell>
          <cell r="L481">
            <v>186</v>
          </cell>
          <cell r="O481" t="str">
            <v>A572 G50</v>
          </cell>
          <cell r="P481" t="str">
            <v>S</v>
          </cell>
        </row>
        <row r="482">
          <cell r="A482">
            <v>481</v>
          </cell>
          <cell r="B482" t="str">
            <v>"L" PERFIL ANGULAR LAMINADO A572</v>
          </cell>
          <cell r="C482" t="str">
            <v>L 25x6</v>
          </cell>
          <cell r="D482">
            <v>2.09</v>
          </cell>
          <cell r="E482">
            <v>2.09</v>
          </cell>
          <cell r="F482" t="str">
            <v>25</v>
          </cell>
          <cell r="G482" t="str">
            <v>25</v>
          </cell>
          <cell r="H482" t="str">
            <v>6</v>
          </cell>
          <cell r="K482">
            <v>100</v>
          </cell>
          <cell r="L482">
            <v>266</v>
          </cell>
          <cell r="O482" t="str">
            <v>A572 G50</v>
          </cell>
          <cell r="P482" t="str">
            <v>N</v>
          </cell>
        </row>
        <row r="483">
          <cell r="A483">
            <v>482</v>
          </cell>
          <cell r="B483" t="str">
            <v>"L" PERFIL ANGULAR LAMINADO A572</v>
          </cell>
          <cell r="C483" t="str">
            <v>L 30x2</v>
          </cell>
          <cell r="D483">
            <v>0.89</v>
          </cell>
          <cell r="E483">
            <v>0.89</v>
          </cell>
          <cell r="F483" t="str">
            <v>30</v>
          </cell>
          <cell r="G483" t="str">
            <v>30</v>
          </cell>
          <cell r="H483" t="str">
            <v>2</v>
          </cell>
          <cell r="K483">
            <v>120</v>
          </cell>
          <cell r="O483" t="str">
            <v>A572 G50</v>
          </cell>
          <cell r="P483" t="str">
            <v>N</v>
          </cell>
        </row>
        <row r="484">
          <cell r="A484">
            <v>483</v>
          </cell>
          <cell r="B484" t="str">
            <v>"L" PERFIL ANGULAR LAMINADO A572</v>
          </cell>
          <cell r="C484" t="str">
            <v>L 30x3</v>
          </cell>
          <cell r="D484">
            <v>1.36</v>
          </cell>
          <cell r="E484">
            <v>1.36</v>
          </cell>
          <cell r="F484" t="str">
            <v>30</v>
          </cell>
          <cell r="G484" t="str">
            <v>30</v>
          </cell>
          <cell r="H484" t="str">
            <v>3</v>
          </cell>
          <cell r="K484">
            <v>120</v>
          </cell>
          <cell r="L484">
            <v>174</v>
          </cell>
          <cell r="M484" t="str">
            <v>12.04.40.042.01</v>
          </cell>
          <cell r="N484">
            <v>12000</v>
          </cell>
          <cell r="O484" t="str">
            <v>A572 G50</v>
          </cell>
          <cell r="P484" t="str">
            <v>S</v>
          </cell>
        </row>
        <row r="485">
          <cell r="A485">
            <v>484</v>
          </cell>
          <cell r="B485" t="str">
            <v>"L" PERFIL ANGULAR LAMINADO A572</v>
          </cell>
          <cell r="C485" t="str">
            <v>L 30x4</v>
          </cell>
          <cell r="D485">
            <v>1.78</v>
          </cell>
          <cell r="E485">
            <v>1.78</v>
          </cell>
          <cell r="F485" t="str">
            <v>30</v>
          </cell>
          <cell r="G485" t="str">
            <v>30</v>
          </cell>
          <cell r="H485" t="str">
            <v>4</v>
          </cell>
          <cell r="K485">
            <v>120</v>
          </cell>
          <cell r="L485">
            <v>227</v>
          </cell>
          <cell r="N485">
            <v>6000</v>
          </cell>
          <cell r="O485" t="str">
            <v>A572 G50</v>
          </cell>
          <cell r="P485" t="str">
            <v>S</v>
          </cell>
        </row>
        <row r="486">
          <cell r="A486">
            <v>485</v>
          </cell>
          <cell r="B486" t="str">
            <v>"L" PERFIL ANGULAR LAMINADO A572</v>
          </cell>
          <cell r="C486" t="str">
            <v>L 30x6</v>
          </cell>
          <cell r="D486">
            <v>2.57</v>
          </cell>
          <cell r="E486">
            <v>2.57</v>
          </cell>
          <cell r="F486" t="str">
            <v>30</v>
          </cell>
          <cell r="G486" t="str">
            <v>30</v>
          </cell>
          <cell r="H486" t="str">
            <v>6</v>
          </cell>
          <cell r="K486">
            <v>120</v>
          </cell>
          <cell r="L486">
            <v>327</v>
          </cell>
          <cell r="O486" t="str">
            <v>A572 G50</v>
          </cell>
          <cell r="P486" t="str">
            <v>N</v>
          </cell>
        </row>
        <row r="487">
          <cell r="A487">
            <v>486</v>
          </cell>
          <cell r="B487" t="str">
            <v>"L" PERFIL ANGULAR LAMINADO A572</v>
          </cell>
          <cell r="C487" t="str">
            <v>L 38x4</v>
          </cell>
          <cell r="D487">
            <v>2.19</v>
          </cell>
          <cell r="E487">
            <v>2.19</v>
          </cell>
          <cell r="F487" t="str">
            <v>38</v>
          </cell>
          <cell r="G487" t="str">
            <v>38</v>
          </cell>
          <cell r="H487" t="str">
            <v>4</v>
          </cell>
          <cell r="K487">
            <v>152</v>
          </cell>
          <cell r="O487" t="str">
            <v>A572 G50</v>
          </cell>
          <cell r="P487" t="str">
            <v>N</v>
          </cell>
        </row>
        <row r="488">
          <cell r="A488">
            <v>487</v>
          </cell>
          <cell r="B488" t="str">
            <v>"L" PERFIL ANGULAR LAMINADO A572</v>
          </cell>
          <cell r="C488" t="str">
            <v>L 40x2</v>
          </cell>
          <cell r="D488">
            <v>1.2</v>
          </cell>
          <cell r="E488">
            <v>1.2</v>
          </cell>
          <cell r="F488" t="str">
            <v>40</v>
          </cell>
          <cell r="G488" t="str">
            <v>40</v>
          </cell>
          <cell r="H488" t="str">
            <v>2</v>
          </cell>
          <cell r="K488">
            <v>160</v>
          </cell>
          <cell r="O488" t="str">
            <v>A572 G50</v>
          </cell>
          <cell r="P488" t="str">
            <v>N</v>
          </cell>
        </row>
        <row r="489">
          <cell r="A489">
            <v>488</v>
          </cell>
          <cell r="B489" t="str">
            <v>"L" PERFIL ANGULAR LAMINADO A572</v>
          </cell>
          <cell r="C489" t="str">
            <v>L 40x3</v>
          </cell>
          <cell r="D489">
            <v>1.84</v>
          </cell>
          <cell r="E489">
            <v>1.84</v>
          </cell>
          <cell r="F489" t="str">
            <v>40</v>
          </cell>
          <cell r="G489" t="str">
            <v>40</v>
          </cell>
          <cell r="H489" t="str">
            <v>3</v>
          </cell>
          <cell r="K489">
            <v>160</v>
          </cell>
          <cell r="L489">
            <v>235</v>
          </cell>
          <cell r="M489" t="str">
            <v>12.04.40.066.00</v>
          </cell>
          <cell r="N489">
            <v>12000</v>
          </cell>
          <cell r="O489" t="str">
            <v>A572 G50</v>
          </cell>
          <cell r="P489" t="str">
            <v>S</v>
          </cell>
        </row>
        <row r="490">
          <cell r="A490">
            <v>489</v>
          </cell>
          <cell r="B490" t="str">
            <v>"L" PERFIL ANGULAR LAMINADO A572</v>
          </cell>
          <cell r="C490" t="str">
            <v>L 40x4</v>
          </cell>
          <cell r="D490">
            <v>2.42</v>
          </cell>
          <cell r="E490">
            <v>2.42</v>
          </cell>
          <cell r="F490" t="str">
            <v>40</v>
          </cell>
          <cell r="G490" t="str">
            <v>40</v>
          </cell>
          <cell r="H490" t="str">
            <v>4</v>
          </cell>
          <cell r="K490">
            <v>160</v>
          </cell>
          <cell r="L490">
            <v>308</v>
          </cell>
          <cell r="M490" t="str">
            <v>12.04.40.072.00</v>
          </cell>
          <cell r="N490">
            <v>12000</v>
          </cell>
          <cell r="O490" t="str">
            <v>A572 G50</v>
          </cell>
          <cell r="P490" t="str">
            <v>S</v>
          </cell>
        </row>
        <row r="491">
          <cell r="A491">
            <v>490</v>
          </cell>
          <cell r="B491" t="str">
            <v>"L" PERFIL ANGULAR LAMINADO A572</v>
          </cell>
          <cell r="C491" t="str">
            <v>L 40x5</v>
          </cell>
          <cell r="D491">
            <v>2.97</v>
          </cell>
          <cell r="E491">
            <v>2.97</v>
          </cell>
          <cell r="F491" t="str">
            <v>40</v>
          </cell>
          <cell r="G491" t="str">
            <v>40</v>
          </cell>
          <cell r="H491" t="str">
            <v>5</v>
          </cell>
          <cell r="K491">
            <v>160</v>
          </cell>
          <cell r="L491">
            <v>379</v>
          </cell>
          <cell r="O491" t="str">
            <v>A572 G50</v>
          </cell>
          <cell r="P491" t="str">
            <v>N</v>
          </cell>
        </row>
        <row r="492">
          <cell r="A492">
            <v>491</v>
          </cell>
          <cell r="B492" t="str">
            <v>"L" PERFIL ANGULAR LAMINADO A572</v>
          </cell>
          <cell r="C492" t="str">
            <v>L 40x6</v>
          </cell>
          <cell r="D492">
            <v>3.52</v>
          </cell>
          <cell r="E492">
            <v>3.52</v>
          </cell>
          <cell r="F492" t="str">
            <v>40</v>
          </cell>
          <cell r="G492" t="str">
            <v>40</v>
          </cell>
          <cell r="H492" t="str">
            <v>6</v>
          </cell>
          <cell r="K492">
            <v>160</v>
          </cell>
          <cell r="L492">
            <v>448.00000000000006</v>
          </cell>
          <cell r="O492" t="str">
            <v>A572 G50</v>
          </cell>
          <cell r="P492" t="str">
            <v>N</v>
          </cell>
        </row>
        <row r="493">
          <cell r="A493">
            <v>492</v>
          </cell>
          <cell r="B493" t="str">
            <v>"L" PERFIL ANGULAR LAMINADO A572</v>
          </cell>
          <cell r="C493" t="str">
            <v>L 50x2</v>
          </cell>
          <cell r="D493">
            <v>1.5199999999999998</v>
          </cell>
          <cell r="E493">
            <v>1.5199999999999998</v>
          </cell>
          <cell r="F493" t="str">
            <v>50</v>
          </cell>
          <cell r="G493" t="str">
            <v>50</v>
          </cell>
          <cell r="H493" t="str">
            <v>2</v>
          </cell>
          <cell r="K493">
            <v>200</v>
          </cell>
          <cell r="O493" t="str">
            <v>A572 G50</v>
          </cell>
          <cell r="P493" t="str">
            <v>N</v>
          </cell>
        </row>
        <row r="494">
          <cell r="A494">
            <v>493</v>
          </cell>
          <cell r="B494" t="str">
            <v>"L" PERFIL ANGULAR LAMINADO A572</v>
          </cell>
          <cell r="C494" t="str">
            <v>L 50x3</v>
          </cell>
          <cell r="D494">
            <v>2.36</v>
          </cell>
          <cell r="E494">
            <v>2.36</v>
          </cell>
          <cell r="F494" t="str">
            <v>50</v>
          </cell>
          <cell r="G494" t="str">
            <v>50</v>
          </cell>
          <cell r="H494" t="str">
            <v>3</v>
          </cell>
          <cell r="K494">
            <v>200</v>
          </cell>
          <cell r="L494">
            <v>296</v>
          </cell>
          <cell r="M494" t="str">
            <v>12.04.40.108.00</v>
          </cell>
          <cell r="N494">
            <v>12000</v>
          </cell>
          <cell r="O494" t="str">
            <v>A572 G50</v>
          </cell>
          <cell r="P494" t="str">
            <v>S</v>
          </cell>
        </row>
        <row r="495">
          <cell r="A495">
            <v>494</v>
          </cell>
          <cell r="B495" t="str">
            <v>"L" PERFIL ANGULAR LAMINADO A572</v>
          </cell>
          <cell r="C495" t="str">
            <v>L 50x4</v>
          </cell>
          <cell r="D495">
            <v>3.06</v>
          </cell>
          <cell r="E495">
            <v>3.06</v>
          </cell>
          <cell r="F495" t="str">
            <v>50</v>
          </cell>
          <cell r="G495" t="str">
            <v>50</v>
          </cell>
          <cell r="H495" t="str">
            <v>4</v>
          </cell>
          <cell r="K495">
            <v>200</v>
          </cell>
          <cell r="L495">
            <v>398</v>
          </cell>
          <cell r="M495" t="str">
            <v>12.04.40.114.00</v>
          </cell>
          <cell r="N495">
            <v>12000</v>
          </cell>
          <cell r="O495" t="str">
            <v>A572 G50</v>
          </cell>
          <cell r="P495" t="str">
            <v>S</v>
          </cell>
        </row>
        <row r="496">
          <cell r="A496">
            <v>495</v>
          </cell>
          <cell r="B496" t="str">
            <v>"L" PERFIL ANGULAR LAMINADO A572</v>
          </cell>
          <cell r="C496" t="str">
            <v>L 50x5</v>
          </cell>
          <cell r="D496">
            <v>3.77</v>
          </cell>
          <cell r="E496">
            <v>3.77</v>
          </cell>
          <cell r="F496" t="str">
            <v>50</v>
          </cell>
          <cell r="G496" t="str">
            <v>50</v>
          </cell>
          <cell r="H496" t="str">
            <v>5</v>
          </cell>
          <cell r="K496">
            <v>200</v>
          </cell>
          <cell r="L496">
            <v>480</v>
          </cell>
          <cell r="M496" t="str">
            <v>12.04.40.120.00</v>
          </cell>
          <cell r="N496">
            <v>12000</v>
          </cell>
          <cell r="O496" t="str">
            <v>A572 G50</v>
          </cell>
          <cell r="P496" t="str">
            <v>S</v>
          </cell>
        </row>
        <row r="497">
          <cell r="A497">
            <v>496</v>
          </cell>
          <cell r="B497" t="str">
            <v>"L" PERFIL ANGULAR LAMINADO A572</v>
          </cell>
          <cell r="C497" t="str">
            <v>L 50x6</v>
          </cell>
          <cell r="D497">
            <v>4.47</v>
          </cell>
          <cell r="E497">
            <v>4.47</v>
          </cell>
          <cell r="F497" t="str">
            <v>50</v>
          </cell>
          <cell r="G497" t="str">
            <v>50</v>
          </cell>
          <cell r="H497" t="str">
            <v>6</v>
          </cell>
          <cell r="K497">
            <v>200</v>
          </cell>
          <cell r="L497">
            <v>569</v>
          </cell>
          <cell r="M497" t="str">
            <v>12.04.40.126.00</v>
          </cell>
          <cell r="N497">
            <v>12000</v>
          </cell>
          <cell r="O497" t="str">
            <v>A572 G50</v>
          </cell>
          <cell r="P497" t="str">
            <v>S</v>
          </cell>
        </row>
        <row r="498">
          <cell r="A498">
            <v>497</v>
          </cell>
          <cell r="B498" t="str">
            <v>"L" PERFIL ANGULAR LAMINADO A572</v>
          </cell>
          <cell r="C498" t="str">
            <v>L 51x38x4.8</v>
          </cell>
          <cell r="D498">
            <v>3.14</v>
          </cell>
          <cell r="E498">
            <v>3.14</v>
          </cell>
          <cell r="F498" t="str">
            <v xml:space="preserve"> 51</v>
          </cell>
          <cell r="G498">
            <v>38</v>
          </cell>
          <cell r="H498">
            <v>4.8</v>
          </cell>
          <cell r="K498">
            <v>46.2</v>
          </cell>
          <cell r="L498">
            <v>401</v>
          </cell>
          <cell r="O498" t="str">
            <v>A572 G50</v>
          </cell>
          <cell r="P498" t="str">
            <v>AE</v>
          </cell>
        </row>
        <row r="499">
          <cell r="A499">
            <v>498</v>
          </cell>
          <cell r="B499" t="str">
            <v>"L" PERFIL ANGULAR LAMINADO A572</v>
          </cell>
          <cell r="C499" t="str">
            <v>L 51x38x6.4</v>
          </cell>
          <cell r="D499">
            <v>4.1100000000000003</v>
          </cell>
          <cell r="E499">
            <v>4.1100000000000003</v>
          </cell>
          <cell r="F499" t="str">
            <v xml:space="preserve"> 51</v>
          </cell>
          <cell r="G499">
            <v>38</v>
          </cell>
          <cell r="H499">
            <v>6.4</v>
          </cell>
          <cell r="K499">
            <v>178</v>
          </cell>
          <cell r="L499">
            <v>524</v>
          </cell>
          <cell r="O499" t="str">
            <v>A572 G50</v>
          </cell>
          <cell r="P499" t="str">
            <v>AE</v>
          </cell>
        </row>
        <row r="500">
          <cell r="A500">
            <v>499</v>
          </cell>
          <cell r="B500" t="str">
            <v>"L" PERFIL ANGULAR LAMINADO A572</v>
          </cell>
          <cell r="C500" t="str">
            <v>L 55x5</v>
          </cell>
          <cell r="D500">
            <v>4.18</v>
          </cell>
          <cell r="E500">
            <v>4.18</v>
          </cell>
          <cell r="F500" t="str">
            <v xml:space="preserve"> 55</v>
          </cell>
          <cell r="G500" t="str">
            <v>55</v>
          </cell>
          <cell r="H500" t="str">
            <v>5</v>
          </cell>
          <cell r="K500">
            <v>220</v>
          </cell>
          <cell r="L500">
            <v>525</v>
          </cell>
          <cell r="O500" t="str">
            <v>A572 G50</v>
          </cell>
          <cell r="P500" t="str">
            <v>AE</v>
          </cell>
        </row>
        <row r="501">
          <cell r="A501">
            <v>500</v>
          </cell>
          <cell r="B501" t="str">
            <v>"L" PERFIL ANGULAR LAMINADO A572</v>
          </cell>
          <cell r="C501" t="str">
            <v>L 60x3</v>
          </cell>
          <cell r="D501">
            <v>2.7100000000000004</v>
          </cell>
          <cell r="E501">
            <v>2.7100000000000004</v>
          </cell>
          <cell r="F501" t="str">
            <v>60</v>
          </cell>
          <cell r="G501" t="str">
            <v>60</v>
          </cell>
          <cell r="H501" t="str">
            <v>3</v>
          </cell>
          <cell r="K501">
            <v>240</v>
          </cell>
          <cell r="O501" t="str">
            <v>A572 G50</v>
          </cell>
          <cell r="P501" t="str">
            <v>N</v>
          </cell>
        </row>
        <row r="502">
          <cell r="A502">
            <v>501</v>
          </cell>
          <cell r="B502" t="str">
            <v>"L" PERFIL ANGULAR LAMINADO A572</v>
          </cell>
          <cell r="C502" t="str">
            <v>L 60x4</v>
          </cell>
          <cell r="D502">
            <v>3.7</v>
          </cell>
          <cell r="E502">
            <v>3.7</v>
          </cell>
          <cell r="F502" t="str">
            <v>60</v>
          </cell>
          <cell r="G502" t="str">
            <v>60</v>
          </cell>
          <cell r="H502" t="str">
            <v>4</v>
          </cell>
          <cell r="K502">
            <v>240</v>
          </cell>
          <cell r="O502" t="str">
            <v>A572 G50</v>
          </cell>
          <cell r="P502" t="str">
            <v>N</v>
          </cell>
        </row>
        <row r="503">
          <cell r="A503">
            <v>502</v>
          </cell>
          <cell r="B503" t="str">
            <v>"L" PERFIL ANGULAR LAMINADO A572</v>
          </cell>
          <cell r="C503" t="str">
            <v>L 60x5</v>
          </cell>
          <cell r="D503">
            <v>4.57</v>
          </cell>
          <cell r="E503">
            <v>4.57</v>
          </cell>
          <cell r="F503" t="str">
            <v>60</v>
          </cell>
          <cell r="G503" t="str">
            <v>60</v>
          </cell>
          <cell r="H503" t="str">
            <v>5</v>
          </cell>
          <cell r="K503">
            <v>240</v>
          </cell>
          <cell r="L503">
            <v>582</v>
          </cell>
          <cell r="M503" t="str">
            <v>12.04.40.156.0</v>
          </cell>
          <cell r="O503" t="str">
            <v>A572 G50</v>
          </cell>
          <cell r="P503" t="str">
            <v>N</v>
          </cell>
        </row>
        <row r="504">
          <cell r="A504">
            <v>503</v>
          </cell>
          <cell r="B504" t="str">
            <v>"L" PERFIL ANGULAR LAMINADO A572</v>
          </cell>
          <cell r="C504" t="str">
            <v>L 60x6</v>
          </cell>
          <cell r="D504">
            <v>5.4233333333333329</v>
          </cell>
          <cell r="E504">
            <v>5.4233333333333329</v>
          </cell>
          <cell r="F504" t="str">
            <v>60</v>
          </cell>
          <cell r="G504" t="str">
            <v>60</v>
          </cell>
          <cell r="H504" t="str">
            <v>6</v>
          </cell>
          <cell r="K504">
            <v>240</v>
          </cell>
          <cell r="L504">
            <v>691</v>
          </cell>
          <cell r="M504" t="str">
            <v>12.04.40.162.01</v>
          </cell>
          <cell r="N504">
            <v>12000</v>
          </cell>
          <cell r="O504" t="str">
            <v>A572 G50</v>
          </cell>
          <cell r="P504" t="str">
            <v>N</v>
          </cell>
        </row>
        <row r="505">
          <cell r="A505">
            <v>504</v>
          </cell>
          <cell r="B505" t="str">
            <v>"L" PERFIL ANGULAR LAMINADO A572</v>
          </cell>
          <cell r="C505" t="str">
            <v>L 60x8</v>
          </cell>
          <cell r="D505">
            <v>7.09</v>
          </cell>
          <cell r="E505">
            <v>7.09</v>
          </cell>
          <cell r="F505" t="str">
            <v>60</v>
          </cell>
          <cell r="G505" t="str">
            <v>60</v>
          </cell>
          <cell r="H505" t="str">
            <v>8</v>
          </cell>
          <cell r="K505">
            <v>240</v>
          </cell>
          <cell r="L505">
            <v>902.99999999999989</v>
          </cell>
          <cell r="O505" t="str">
            <v>A572 G50</v>
          </cell>
          <cell r="P505" t="str">
            <v>N</v>
          </cell>
        </row>
        <row r="506">
          <cell r="A506">
            <v>505</v>
          </cell>
          <cell r="B506" t="str">
            <v>"L" PERFIL ANGULAR LAMINADO A572</v>
          </cell>
          <cell r="C506" t="str">
            <v>L 65x5</v>
          </cell>
          <cell r="D506">
            <v>4.95</v>
          </cell>
          <cell r="E506">
            <v>4.95</v>
          </cell>
          <cell r="F506" t="str">
            <v>65</v>
          </cell>
          <cell r="G506" t="str">
            <v>65</v>
          </cell>
          <cell r="H506" t="str">
            <v>5</v>
          </cell>
          <cell r="K506">
            <v>260</v>
          </cell>
          <cell r="L506">
            <v>625</v>
          </cell>
          <cell r="M506" t="str">
            <v>12.04.40.174.00</v>
          </cell>
          <cell r="N506">
            <v>12000</v>
          </cell>
          <cell r="O506" t="str">
            <v>A572 G50</v>
          </cell>
          <cell r="P506" t="str">
            <v>AE</v>
          </cell>
        </row>
        <row r="507">
          <cell r="A507">
            <v>506</v>
          </cell>
          <cell r="B507" t="str">
            <v>"L" PERFIL ANGULAR LAMINADO A572</v>
          </cell>
          <cell r="C507" t="str">
            <v>L 65x6</v>
          </cell>
          <cell r="D507">
            <v>5.91</v>
          </cell>
          <cell r="E507">
            <v>5.91</v>
          </cell>
          <cell r="F507" t="str">
            <v>65</v>
          </cell>
          <cell r="G507" t="str">
            <v>65</v>
          </cell>
          <cell r="H507" t="str">
            <v>6</v>
          </cell>
          <cell r="K507">
            <v>260</v>
          </cell>
          <cell r="L507">
            <v>744</v>
          </cell>
          <cell r="M507" t="str">
            <v>12.04.40.180.00</v>
          </cell>
          <cell r="N507">
            <v>12000</v>
          </cell>
          <cell r="O507" t="str">
            <v>A572 G50</v>
          </cell>
          <cell r="P507" t="str">
            <v>AE</v>
          </cell>
        </row>
        <row r="508">
          <cell r="A508">
            <v>507</v>
          </cell>
          <cell r="B508" t="str">
            <v>"L" PERFIL ANGULAR LAMINADO A572</v>
          </cell>
          <cell r="C508" t="str">
            <v>L 70x6</v>
          </cell>
          <cell r="D508">
            <v>6.38</v>
          </cell>
          <cell r="E508">
            <v>6.38</v>
          </cell>
          <cell r="F508" t="str">
            <v>70</v>
          </cell>
          <cell r="G508" t="str">
            <v>70</v>
          </cell>
          <cell r="H508" t="str">
            <v>6</v>
          </cell>
          <cell r="K508">
            <v>280</v>
          </cell>
          <cell r="L508">
            <v>813.00000000000011</v>
          </cell>
          <cell r="M508" t="str">
            <v>12.04.40.198.00</v>
          </cell>
          <cell r="N508">
            <v>6000</v>
          </cell>
          <cell r="O508" t="str">
            <v>A572 G50</v>
          </cell>
          <cell r="P508" t="str">
            <v>N</v>
          </cell>
        </row>
        <row r="509">
          <cell r="A509">
            <v>508</v>
          </cell>
          <cell r="B509" t="str">
            <v>"L" PERFIL ANGULAR LAMINADO A572</v>
          </cell>
          <cell r="C509" t="str">
            <v>L 75x6</v>
          </cell>
          <cell r="D509">
            <v>6.85</v>
          </cell>
          <cell r="E509">
            <v>6.85</v>
          </cell>
          <cell r="F509" t="str">
            <v>75</v>
          </cell>
          <cell r="G509" t="str">
            <v>75</v>
          </cell>
          <cell r="H509" t="str">
            <v>6</v>
          </cell>
          <cell r="K509">
            <v>300</v>
          </cell>
          <cell r="L509">
            <v>866</v>
          </cell>
          <cell r="M509" t="str">
            <v>12.04.40.234.00</v>
          </cell>
          <cell r="N509">
            <v>12000</v>
          </cell>
          <cell r="O509" t="str">
            <v>A572 G50</v>
          </cell>
          <cell r="P509" t="str">
            <v>S</v>
          </cell>
        </row>
        <row r="510">
          <cell r="A510">
            <v>509</v>
          </cell>
          <cell r="B510" t="str">
            <v>"L" PERFIL ANGULAR LAMINADO A572</v>
          </cell>
          <cell r="C510" t="str">
            <v>L 75x8</v>
          </cell>
          <cell r="D510">
            <v>9.0299999999999994</v>
          </cell>
          <cell r="E510">
            <v>9.0299999999999994</v>
          </cell>
          <cell r="F510" t="str">
            <v>75</v>
          </cell>
          <cell r="G510" t="str">
            <v>75</v>
          </cell>
          <cell r="H510" t="str">
            <v>8</v>
          </cell>
          <cell r="K510">
            <v>300</v>
          </cell>
          <cell r="L510">
            <v>1136</v>
          </cell>
          <cell r="M510" t="str">
            <v>12.04.40.246.00</v>
          </cell>
          <cell r="N510">
            <v>12000</v>
          </cell>
          <cell r="O510" t="str">
            <v>A572 G50</v>
          </cell>
          <cell r="P510" t="str">
            <v>S</v>
          </cell>
        </row>
        <row r="511">
          <cell r="A511">
            <v>510</v>
          </cell>
          <cell r="B511" t="str">
            <v>"L" PERFIL ANGULAR LAMINADO A572</v>
          </cell>
          <cell r="C511" t="str">
            <v>L 80x8</v>
          </cell>
          <cell r="D511">
            <v>9.66</v>
          </cell>
          <cell r="E511">
            <v>9.66</v>
          </cell>
          <cell r="F511" t="str">
            <v>80</v>
          </cell>
          <cell r="G511" t="str">
            <v>80</v>
          </cell>
          <cell r="H511" t="str">
            <v>8</v>
          </cell>
          <cell r="K511">
            <v>320</v>
          </cell>
          <cell r="L511">
            <v>1230</v>
          </cell>
          <cell r="O511" t="str">
            <v>A572 G50</v>
          </cell>
          <cell r="P511" t="str">
            <v>N</v>
          </cell>
        </row>
        <row r="512">
          <cell r="A512">
            <v>511</v>
          </cell>
          <cell r="B512" t="str">
            <v>"L" PERFIL ANGULAR LAMINADO A572</v>
          </cell>
          <cell r="C512" t="str">
            <v>L 90x6</v>
          </cell>
          <cell r="D512">
            <v>8.25</v>
          </cell>
          <cell r="E512">
            <v>8.25</v>
          </cell>
          <cell r="F512" t="str">
            <v xml:space="preserve"> 90</v>
          </cell>
          <cell r="G512" t="str">
            <v>90</v>
          </cell>
          <cell r="H512" t="str">
            <v>6</v>
          </cell>
          <cell r="K512">
            <v>360</v>
          </cell>
          <cell r="L512">
            <v>1044</v>
          </cell>
          <cell r="O512" t="str">
            <v>A572 G50</v>
          </cell>
          <cell r="P512" t="str">
            <v>AE</v>
          </cell>
        </row>
        <row r="513">
          <cell r="A513">
            <v>512</v>
          </cell>
          <cell r="B513" t="str">
            <v>"L" PERFIL ANGULAR LAMINADO A572</v>
          </cell>
          <cell r="C513" t="str">
            <v>L 90x8</v>
          </cell>
          <cell r="D513">
            <v>10.9</v>
          </cell>
          <cell r="E513">
            <v>10.9</v>
          </cell>
          <cell r="F513" t="str">
            <v xml:space="preserve"> 90</v>
          </cell>
          <cell r="G513" t="str">
            <v>90</v>
          </cell>
          <cell r="H513" t="str">
            <v>8</v>
          </cell>
          <cell r="K513">
            <v>360</v>
          </cell>
          <cell r="L513">
            <v>1376</v>
          </cell>
          <cell r="O513" t="str">
            <v>A572 G50</v>
          </cell>
          <cell r="P513" t="str">
            <v>AE</v>
          </cell>
        </row>
        <row r="514">
          <cell r="A514">
            <v>513</v>
          </cell>
          <cell r="B514" t="str">
            <v>"L" PERFIL ANGULAR LAMINADO A572</v>
          </cell>
          <cell r="C514" t="str">
            <v>L 100x6</v>
          </cell>
          <cell r="D514">
            <v>9.3000000000000007</v>
          </cell>
          <cell r="E514">
            <v>9.3000000000000007</v>
          </cell>
          <cell r="F514" t="str">
            <v>100</v>
          </cell>
          <cell r="G514" t="str">
            <v>100</v>
          </cell>
          <cell r="H514" t="str">
            <v>6</v>
          </cell>
          <cell r="K514">
            <v>400</v>
          </cell>
          <cell r="L514">
            <v>1175</v>
          </cell>
          <cell r="M514" t="str">
            <v>12.04.40.324.01</v>
          </cell>
          <cell r="N514">
            <v>6000</v>
          </cell>
          <cell r="O514" t="str">
            <v>A572 G50</v>
          </cell>
          <cell r="P514" t="str">
            <v>S</v>
          </cell>
        </row>
        <row r="515">
          <cell r="A515">
            <v>514</v>
          </cell>
          <cell r="B515" t="str">
            <v>"L" PERFIL ANGULAR LAMINADO A572</v>
          </cell>
          <cell r="C515" t="str">
            <v>L 100x8</v>
          </cell>
          <cell r="D515">
            <v>12.200000000000001</v>
          </cell>
          <cell r="E515">
            <v>12.200000000000001</v>
          </cell>
          <cell r="F515" t="str">
            <v>100</v>
          </cell>
          <cell r="G515" t="str">
            <v>100</v>
          </cell>
          <cell r="H515" t="str">
            <v>8</v>
          </cell>
          <cell r="K515">
            <v>400</v>
          </cell>
          <cell r="L515">
            <v>1550</v>
          </cell>
          <cell r="M515" t="str">
            <v>12.04.40.336.01</v>
          </cell>
          <cell r="N515">
            <v>12000</v>
          </cell>
          <cell r="O515" t="str">
            <v>A572 G50</v>
          </cell>
          <cell r="P515" t="str">
            <v>S</v>
          </cell>
        </row>
        <row r="516">
          <cell r="A516">
            <v>515</v>
          </cell>
          <cell r="B516" t="str">
            <v>"L" PERFIL ANGULAR LAMINADO A572</v>
          </cell>
          <cell r="C516" t="str">
            <v>L 100x10</v>
          </cell>
          <cell r="D516">
            <v>15.1</v>
          </cell>
          <cell r="E516">
            <v>15.1</v>
          </cell>
          <cell r="F516" t="str">
            <v>100</v>
          </cell>
          <cell r="G516" t="str">
            <v>100</v>
          </cell>
          <cell r="H516" t="str">
            <v>10</v>
          </cell>
          <cell r="K516">
            <v>400</v>
          </cell>
          <cell r="L516">
            <v>1920</v>
          </cell>
          <cell r="M516" t="str">
            <v>12.04.40.342.00</v>
          </cell>
          <cell r="N516">
            <v>12000</v>
          </cell>
          <cell r="O516" t="str">
            <v>A572 G50</v>
          </cell>
          <cell r="P516" t="str">
            <v>S</v>
          </cell>
        </row>
        <row r="517">
          <cell r="A517">
            <v>516</v>
          </cell>
          <cell r="B517" t="str">
            <v>"L" PERFIL ANGULAR LAMINADO A572</v>
          </cell>
          <cell r="C517" t="str">
            <v>L 100x12</v>
          </cell>
          <cell r="D517">
            <v>17.8</v>
          </cell>
          <cell r="E517">
            <v>17.8</v>
          </cell>
          <cell r="F517" t="str">
            <v>100</v>
          </cell>
          <cell r="G517" t="str">
            <v>100</v>
          </cell>
          <cell r="H517" t="str">
            <v>12</v>
          </cell>
          <cell r="K517">
            <v>400</v>
          </cell>
          <cell r="L517">
            <v>2270</v>
          </cell>
          <cell r="M517" t="str">
            <v>12.04.40.348.00</v>
          </cell>
          <cell r="N517">
            <v>12000</v>
          </cell>
          <cell r="O517" t="str">
            <v>A572 G50</v>
          </cell>
          <cell r="P517" t="str">
            <v>S</v>
          </cell>
        </row>
        <row r="518">
          <cell r="A518">
            <v>517</v>
          </cell>
          <cell r="B518" t="str">
            <v>"L" PERFIL ANGULAR LAMINADO A572</v>
          </cell>
          <cell r="C518" t="str">
            <v>L 100x15</v>
          </cell>
          <cell r="D518">
            <v>21.9</v>
          </cell>
          <cell r="E518">
            <v>21.9</v>
          </cell>
          <cell r="F518" t="str">
            <v>100</v>
          </cell>
          <cell r="G518" t="str">
            <v>100</v>
          </cell>
          <cell r="H518" t="str">
            <v>15</v>
          </cell>
          <cell r="K518">
            <v>400</v>
          </cell>
          <cell r="M518" t="str">
            <v>12.04.40.350.00</v>
          </cell>
          <cell r="O518" t="str">
            <v>A572 G50</v>
          </cell>
          <cell r="P518" t="str">
            <v>N</v>
          </cell>
        </row>
        <row r="519">
          <cell r="A519">
            <v>518</v>
          </cell>
          <cell r="B519" t="str">
            <v>"L" PERFIL ANGULAR LAMINADO A572</v>
          </cell>
          <cell r="C519" t="str">
            <v>L 102x76x7.9</v>
          </cell>
          <cell r="D519">
            <v>10.6</v>
          </cell>
          <cell r="E519">
            <v>10.6</v>
          </cell>
          <cell r="F519" t="str">
            <v xml:space="preserve"> 102</v>
          </cell>
          <cell r="G519" t="str">
            <v>76</v>
          </cell>
          <cell r="H519">
            <v>7.9</v>
          </cell>
          <cell r="K519">
            <v>356.00000000000006</v>
          </cell>
          <cell r="L519">
            <v>1343.79</v>
          </cell>
          <cell r="O519" t="str">
            <v>A572 G50</v>
          </cell>
          <cell r="P519" t="str">
            <v>AE</v>
          </cell>
        </row>
        <row r="520">
          <cell r="A520">
            <v>519</v>
          </cell>
          <cell r="B520" t="str">
            <v>"L" PERFIL ANGULAR LAMINADO A572</v>
          </cell>
          <cell r="C520" t="str">
            <v>L 120x12</v>
          </cell>
          <cell r="D520">
            <v>21.6</v>
          </cell>
          <cell r="E520">
            <v>21.6</v>
          </cell>
          <cell r="F520" t="str">
            <v>120</v>
          </cell>
          <cell r="G520" t="str">
            <v>120</v>
          </cell>
          <cell r="H520" t="str">
            <v>12</v>
          </cell>
          <cell r="K520">
            <v>480</v>
          </cell>
          <cell r="O520" t="str">
            <v>A572 G50</v>
          </cell>
          <cell r="P520" t="str">
            <v>N</v>
          </cell>
        </row>
        <row r="521">
          <cell r="A521">
            <v>520</v>
          </cell>
          <cell r="B521" t="str">
            <v>"L" PERFIL ANGULAR LAMINADO A572</v>
          </cell>
          <cell r="C521" t="str">
            <v>L 120x15</v>
          </cell>
          <cell r="D521">
            <v>26.6</v>
          </cell>
          <cell r="E521">
            <v>26.6</v>
          </cell>
          <cell r="F521" t="str">
            <v>120</v>
          </cell>
          <cell r="G521" t="str">
            <v>120</v>
          </cell>
          <cell r="H521" t="str">
            <v>15</v>
          </cell>
          <cell r="K521">
            <v>480</v>
          </cell>
          <cell r="O521" t="str">
            <v>A572 G50</v>
          </cell>
          <cell r="P521" t="str">
            <v>N</v>
          </cell>
        </row>
        <row r="522">
          <cell r="A522">
            <v>521</v>
          </cell>
          <cell r="B522" t="str">
            <v>"L" PERFIL ANGULAR LAMINADO A572</v>
          </cell>
          <cell r="C522" t="str">
            <v>L 125x10</v>
          </cell>
          <cell r="D522">
            <v>18.84</v>
          </cell>
          <cell r="E522">
            <v>18.84</v>
          </cell>
          <cell r="F522" t="str">
            <v xml:space="preserve"> 125</v>
          </cell>
          <cell r="G522" t="str">
            <v>125</v>
          </cell>
          <cell r="H522" t="str">
            <v>10</v>
          </cell>
          <cell r="K522">
            <v>500</v>
          </cell>
          <cell r="L522">
            <v>2400</v>
          </cell>
          <cell r="O522" t="str">
            <v>A572 G50</v>
          </cell>
          <cell r="P522" t="str">
            <v>AE</v>
          </cell>
        </row>
        <row r="523">
          <cell r="A523">
            <v>522</v>
          </cell>
          <cell r="B523" t="str">
            <v>"L" PERFIL ANGULAR LAMINADO A572</v>
          </cell>
          <cell r="C523" t="str">
            <v>L 125x13</v>
          </cell>
          <cell r="D523">
            <v>24.185849999999999</v>
          </cell>
          <cell r="E523">
            <v>24.185849999999999</v>
          </cell>
          <cell r="F523" t="str">
            <v xml:space="preserve"> 125</v>
          </cell>
          <cell r="G523" t="str">
            <v>125</v>
          </cell>
          <cell r="H523" t="str">
            <v>13</v>
          </cell>
          <cell r="K523">
            <v>500</v>
          </cell>
          <cell r="L523">
            <v>3081</v>
          </cell>
          <cell r="O523" t="str">
            <v>A572 G50</v>
          </cell>
          <cell r="P523" t="str">
            <v>AE</v>
          </cell>
        </row>
        <row r="524">
          <cell r="A524">
            <v>523</v>
          </cell>
          <cell r="B524" t="str">
            <v>"L" PERFIL ANGULAR LAMINADO A572</v>
          </cell>
          <cell r="C524" t="str">
            <v>L 127x76x6.4</v>
          </cell>
          <cell r="D524">
            <v>9.81</v>
          </cell>
          <cell r="E524">
            <v>9.81</v>
          </cell>
          <cell r="F524" t="str">
            <v xml:space="preserve"> 127</v>
          </cell>
          <cell r="G524" t="str">
            <v>76</v>
          </cell>
          <cell r="H524">
            <v>6.4</v>
          </cell>
          <cell r="K524">
            <v>406.00000000000006</v>
          </cell>
          <cell r="L524">
            <v>1258.24</v>
          </cell>
          <cell r="O524" t="str">
            <v>A572 G50</v>
          </cell>
          <cell r="P524" t="str">
            <v>AE</v>
          </cell>
        </row>
        <row r="525">
          <cell r="A525">
            <v>524</v>
          </cell>
          <cell r="B525" t="str">
            <v>"L" PERFIL ANGULAR LAMINADO A572</v>
          </cell>
          <cell r="C525" t="str">
            <v>L 127x89x6.4</v>
          </cell>
          <cell r="D525">
            <v>10.4</v>
          </cell>
          <cell r="E525">
            <v>10.4</v>
          </cell>
          <cell r="F525" t="str">
            <v xml:space="preserve"> 127</v>
          </cell>
          <cell r="G525" t="str">
            <v>89</v>
          </cell>
          <cell r="H525">
            <v>6.4</v>
          </cell>
          <cell r="K525">
            <v>432.00000000000006</v>
          </cell>
          <cell r="L525">
            <v>1341.44</v>
          </cell>
          <cell r="O525" t="str">
            <v>A572 G50</v>
          </cell>
          <cell r="P525" t="str">
            <v>AE</v>
          </cell>
        </row>
        <row r="526">
          <cell r="A526">
            <v>525</v>
          </cell>
          <cell r="B526" t="str">
            <v>"L" PERFIL ANGULAR LAMINADO A572</v>
          </cell>
          <cell r="C526" t="str">
            <v>L 150x10</v>
          </cell>
          <cell r="D526">
            <v>23</v>
          </cell>
          <cell r="E526">
            <v>23</v>
          </cell>
          <cell r="F526" t="str">
            <v xml:space="preserve"> 150</v>
          </cell>
          <cell r="G526" t="str">
            <v>150</v>
          </cell>
          <cell r="H526" t="str">
            <v>10</v>
          </cell>
          <cell r="K526">
            <v>600</v>
          </cell>
          <cell r="L526">
            <v>2900</v>
          </cell>
          <cell r="O526" t="str">
            <v>A572 G50</v>
          </cell>
          <cell r="P526" t="str">
            <v>AE</v>
          </cell>
        </row>
        <row r="527">
          <cell r="A527">
            <v>526</v>
          </cell>
          <cell r="B527" t="str">
            <v>"L" PERFIL ANGULAR LAMINADO A572</v>
          </cell>
          <cell r="C527" t="str">
            <v xml:space="preserve">L 150x12 </v>
          </cell>
          <cell r="D527">
            <v>27.3</v>
          </cell>
          <cell r="E527">
            <v>27.3</v>
          </cell>
          <cell r="F527" t="str">
            <v>150</v>
          </cell>
          <cell r="G527" t="str">
            <v>150</v>
          </cell>
          <cell r="H527" t="str">
            <v>12</v>
          </cell>
          <cell r="K527">
            <v>600</v>
          </cell>
          <cell r="M527" t="str">
            <v>12.04.40.450.0</v>
          </cell>
          <cell r="O527" t="str">
            <v>A572 G50</v>
          </cell>
          <cell r="P527" t="str">
            <v>N</v>
          </cell>
        </row>
        <row r="528">
          <cell r="A528">
            <v>527</v>
          </cell>
          <cell r="B528" t="str">
            <v>"L" PERFIL ANGULAR LAMINADO A572</v>
          </cell>
          <cell r="C528" t="str">
            <v>L 150x13</v>
          </cell>
          <cell r="D528">
            <v>29.288350000000001</v>
          </cell>
          <cell r="E528">
            <v>29.288350000000001</v>
          </cell>
          <cell r="F528" t="str">
            <v xml:space="preserve"> 150</v>
          </cell>
          <cell r="G528" t="str">
            <v>150</v>
          </cell>
          <cell r="H528" t="str">
            <v>13</v>
          </cell>
          <cell r="K528">
            <v>600</v>
          </cell>
          <cell r="L528">
            <v>3731</v>
          </cell>
          <cell r="O528" t="str">
            <v>A572 G50</v>
          </cell>
          <cell r="P528" t="str">
            <v>AE</v>
          </cell>
        </row>
        <row r="529">
          <cell r="A529">
            <v>528</v>
          </cell>
          <cell r="B529" t="str">
            <v>"L" PERFIL ANGULAR LAMINADO A572</v>
          </cell>
          <cell r="C529" t="str">
            <v>L 150x15</v>
          </cell>
          <cell r="D529">
            <v>33.799999999999997</v>
          </cell>
          <cell r="E529">
            <v>33.799999999999997</v>
          </cell>
          <cell r="F529" t="str">
            <v>150</v>
          </cell>
          <cell r="G529" t="str">
            <v>150</v>
          </cell>
          <cell r="H529" t="str">
            <v>15</v>
          </cell>
          <cell r="K529">
            <v>600</v>
          </cell>
          <cell r="M529" t="str">
            <v>12.04.40.468.0</v>
          </cell>
          <cell r="O529" t="str">
            <v>A572 G50</v>
          </cell>
          <cell r="P529" t="str">
            <v>N</v>
          </cell>
        </row>
        <row r="530">
          <cell r="A530">
            <v>529</v>
          </cell>
          <cell r="B530" t="str">
            <v>"L" PERFIL ANGULAR LAMINADO A572</v>
          </cell>
          <cell r="C530" t="str">
            <v>L 150x16</v>
          </cell>
          <cell r="D530">
            <v>35.9</v>
          </cell>
          <cell r="E530">
            <v>35.9</v>
          </cell>
          <cell r="F530" t="str">
            <v xml:space="preserve"> 150</v>
          </cell>
          <cell r="G530" t="str">
            <v>150</v>
          </cell>
          <cell r="H530" t="str">
            <v>16</v>
          </cell>
          <cell r="K530">
            <v>600</v>
          </cell>
          <cell r="L530">
            <v>4544</v>
          </cell>
          <cell r="O530" t="str">
            <v>A572 G50</v>
          </cell>
          <cell r="P530" t="str">
            <v>AE</v>
          </cell>
        </row>
        <row r="531">
          <cell r="A531">
            <v>530</v>
          </cell>
          <cell r="B531" t="str">
            <v>"L" PERFIL ANGULAR LAMINADO A572</v>
          </cell>
          <cell r="C531" t="str">
            <v>L 150x18</v>
          </cell>
          <cell r="D531">
            <v>40.1</v>
          </cell>
          <cell r="E531">
            <v>40.1</v>
          </cell>
          <cell r="F531" t="str">
            <v>150</v>
          </cell>
          <cell r="G531" t="str">
            <v>150</v>
          </cell>
          <cell r="H531" t="str">
            <v>18</v>
          </cell>
          <cell r="K531">
            <v>600</v>
          </cell>
          <cell r="O531" t="str">
            <v>A572 G50</v>
          </cell>
          <cell r="P531" t="str">
            <v>N</v>
          </cell>
        </row>
        <row r="532">
          <cell r="A532">
            <v>531</v>
          </cell>
          <cell r="B532" t="str">
            <v>"L" PERFIL ANGULAR LAMINADO A572</v>
          </cell>
          <cell r="C532" t="str">
            <v>L 152x122x7.9</v>
          </cell>
          <cell r="D532">
            <v>16.502191499999999</v>
          </cell>
          <cell r="E532">
            <v>16.502191499999999</v>
          </cell>
          <cell r="F532" t="str">
            <v xml:space="preserve"> 152</v>
          </cell>
          <cell r="G532" t="str">
            <v>122</v>
          </cell>
          <cell r="H532">
            <v>7.9</v>
          </cell>
          <cell r="K532">
            <v>548</v>
          </cell>
          <cell r="L532">
            <v>2102.19</v>
          </cell>
          <cell r="O532" t="str">
            <v>A572 G50</v>
          </cell>
          <cell r="P532" t="str">
            <v>AE</v>
          </cell>
        </row>
        <row r="533">
          <cell r="A533">
            <v>532</v>
          </cell>
          <cell r="B533" t="str">
            <v>"L" PERFIL ANGULAR LAMINADO A572</v>
          </cell>
          <cell r="C533" t="str">
            <v>L 180x15</v>
          </cell>
          <cell r="D533">
            <v>40.9</v>
          </cell>
          <cell r="E533">
            <v>40.9</v>
          </cell>
          <cell r="F533" t="str">
            <v>180</v>
          </cell>
          <cell r="G533" t="str">
            <v>180</v>
          </cell>
          <cell r="H533" t="str">
            <v>15</v>
          </cell>
          <cell r="K533">
            <v>720</v>
          </cell>
          <cell r="O533" t="str">
            <v>A572 G50</v>
          </cell>
          <cell r="P533" t="str">
            <v>N</v>
          </cell>
        </row>
        <row r="534">
          <cell r="A534">
            <v>533</v>
          </cell>
          <cell r="B534" t="str">
            <v>"L" PERFIL ANGULAR LAMINADO A572</v>
          </cell>
          <cell r="C534" t="str">
            <v>L 180x18</v>
          </cell>
          <cell r="D534">
            <v>48.6</v>
          </cell>
          <cell r="E534">
            <v>48.6</v>
          </cell>
          <cell r="F534" t="str">
            <v>180</v>
          </cell>
          <cell r="G534" t="str">
            <v>180</v>
          </cell>
          <cell r="H534" t="str">
            <v>18</v>
          </cell>
          <cell r="K534">
            <v>720</v>
          </cell>
          <cell r="O534" t="str">
            <v>A572 G50</v>
          </cell>
          <cell r="P534" t="str">
            <v>N</v>
          </cell>
        </row>
        <row r="535">
          <cell r="A535">
            <v>534</v>
          </cell>
          <cell r="B535" t="str">
            <v>"L" PERFIL ANGULAR LAMINADO A572</v>
          </cell>
          <cell r="C535" t="str">
            <v>L 180x20</v>
          </cell>
          <cell r="D535">
            <v>53.7</v>
          </cell>
          <cell r="E535">
            <v>53.7</v>
          </cell>
          <cell r="F535" t="str">
            <v>180</v>
          </cell>
          <cell r="G535" t="str">
            <v>180</v>
          </cell>
          <cell r="H535" t="str">
            <v>20</v>
          </cell>
          <cell r="K535">
            <v>720</v>
          </cell>
          <cell r="O535" t="str">
            <v>A572 G50</v>
          </cell>
          <cell r="P535" t="str">
            <v>N</v>
          </cell>
        </row>
        <row r="536">
          <cell r="A536">
            <v>535</v>
          </cell>
          <cell r="B536" t="str">
            <v>"L" PERFIL ANGULAR LAMINADO A572</v>
          </cell>
          <cell r="C536" t="str">
            <v>L 200x150x13</v>
          </cell>
          <cell r="D536">
            <v>34.39085</v>
          </cell>
          <cell r="E536">
            <v>34.39085</v>
          </cell>
          <cell r="F536" t="str">
            <v xml:space="preserve"> 200</v>
          </cell>
          <cell r="G536" t="str">
            <v>150</v>
          </cell>
          <cell r="H536" t="str">
            <v>13</v>
          </cell>
          <cell r="K536">
            <v>700</v>
          </cell>
          <cell r="L536">
            <v>4381</v>
          </cell>
          <cell r="O536" t="str">
            <v>A572 G50</v>
          </cell>
          <cell r="P536" t="str">
            <v>AE</v>
          </cell>
        </row>
        <row r="537">
          <cell r="A537">
            <v>536</v>
          </cell>
          <cell r="B537" t="str">
            <v>"L" PERFIL ANGULAR LAMINADO A572</v>
          </cell>
          <cell r="C537" t="str">
            <v>L 200x150x16</v>
          </cell>
          <cell r="D537">
            <v>41.950400000000002</v>
          </cell>
          <cell r="E537">
            <v>41.950400000000002</v>
          </cell>
          <cell r="F537" t="str">
            <v xml:space="preserve"> 200</v>
          </cell>
          <cell r="G537" t="str">
            <v>150</v>
          </cell>
          <cell r="H537" t="str">
            <v>16</v>
          </cell>
          <cell r="K537">
            <v>700</v>
          </cell>
          <cell r="L537">
            <v>5344</v>
          </cell>
          <cell r="O537" t="str">
            <v>A572 G50</v>
          </cell>
          <cell r="P537" t="str">
            <v>AE</v>
          </cell>
        </row>
        <row r="538">
          <cell r="A538">
            <v>537</v>
          </cell>
          <cell r="B538" t="str">
            <v>"L" PERFIL ANGULAR LAMINADO A572</v>
          </cell>
          <cell r="C538" t="str">
            <v>L 200x16</v>
          </cell>
          <cell r="D538">
            <v>48.5</v>
          </cell>
          <cell r="E538">
            <v>48.5</v>
          </cell>
          <cell r="F538" t="str">
            <v>200</v>
          </cell>
          <cell r="G538" t="str">
            <v>200</v>
          </cell>
          <cell r="H538" t="str">
            <v>16</v>
          </cell>
          <cell r="K538">
            <v>800</v>
          </cell>
          <cell r="O538" t="str">
            <v>A572 G50</v>
          </cell>
          <cell r="P538" t="str">
            <v>N</v>
          </cell>
        </row>
        <row r="539">
          <cell r="A539">
            <v>538</v>
          </cell>
          <cell r="B539" t="str">
            <v>"L" PERFIL ANGULAR LAMINADO A572</v>
          </cell>
          <cell r="C539" t="str">
            <v>L 200x18</v>
          </cell>
          <cell r="D539">
            <v>54.3</v>
          </cell>
          <cell r="E539">
            <v>54.3</v>
          </cell>
          <cell r="F539" t="str">
            <v>200</v>
          </cell>
          <cell r="G539" t="str">
            <v>200</v>
          </cell>
          <cell r="H539" t="str">
            <v>18</v>
          </cell>
          <cell r="K539">
            <v>800</v>
          </cell>
          <cell r="O539" t="str">
            <v>A572 G50</v>
          </cell>
          <cell r="P539" t="str">
            <v>N</v>
          </cell>
        </row>
        <row r="540">
          <cell r="A540">
            <v>539</v>
          </cell>
          <cell r="B540" t="str">
            <v>"L" PERFIL ANGULAR LAMINADO A572</v>
          </cell>
          <cell r="C540" t="str">
            <v>L 200x20</v>
          </cell>
          <cell r="D540">
            <v>59.9</v>
          </cell>
          <cell r="E540">
            <v>59.9</v>
          </cell>
          <cell r="F540" t="str">
            <v>200</v>
          </cell>
          <cell r="G540" t="str">
            <v>200</v>
          </cell>
          <cell r="H540" t="str">
            <v>20</v>
          </cell>
          <cell r="K540">
            <v>800</v>
          </cell>
          <cell r="M540" t="str">
            <v>14.04.41.550.00</v>
          </cell>
          <cell r="O540" t="str">
            <v>A572 G50</v>
          </cell>
          <cell r="P540" t="str">
            <v>N</v>
          </cell>
        </row>
        <row r="541">
          <cell r="A541">
            <v>540</v>
          </cell>
          <cell r="B541" t="str">
            <v>"L" PERFIL ANGULAR LAMINADO A572</v>
          </cell>
          <cell r="C541" t="str">
            <v>L 200x24</v>
          </cell>
          <cell r="D541">
            <v>71.099999999999994</v>
          </cell>
          <cell r="E541">
            <v>71.099999999999994</v>
          </cell>
          <cell r="F541" t="str">
            <v>200</v>
          </cell>
          <cell r="G541" t="str">
            <v>200</v>
          </cell>
          <cell r="H541" t="str">
            <v>24</v>
          </cell>
          <cell r="K541">
            <v>800</v>
          </cell>
          <cell r="O541" t="str">
            <v>A572 G50</v>
          </cell>
          <cell r="P541" t="str">
            <v>N</v>
          </cell>
        </row>
        <row r="542">
          <cell r="A542">
            <v>541</v>
          </cell>
          <cell r="B542" t="str">
            <v>"L" PERFIL ANGULAR LAMINADO A572</v>
          </cell>
          <cell r="C542" t="str">
            <v>L 203x152x12.7</v>
          </cell>
          <cell r="D542">
            <v>34.200000000000003</v>
          </cell>
          <cell r="E542">
            <v>34.200000000000003</v>
          </cell>
          <cell r="F542" t="str">
            <v xml:space="preserve"> 203</v>
          </cell>
          <cell r="G542" t="str">
            <v>152</v>
          </cell>
          <cell r="H542">
            <v>12.7</v>
          </cell>
          <cell r="K542">
            <v>709.99999999999989</v>
          </cell>
          <cell r="L542">
            <v>4347.21</v>
          </cell>
          <cell r="O542" t="str">
            <v>A572 G50</v>
          </cell>
          <cell r="P542" t="str">
            <v>AE</v>
          </cell>
        </row>
        <row r="543">
          <cell r="A543">
            <v>542</v>
          </cell>
          <cell r="B543" t="str">
            <v>"L" PERFIL ANGULAR LAMINADO A572</v>
          </cell>
          <cell r="C543" t="str">
            <v>L 203x152x15.9</v>
          </cell>
          <cell r="D543">
            <v>42.4</v>
          </cell>
          <cell r="E543">
            <v>42.4</v>
          </cell>
          <cell r="F543" t="str">
            <v xml:space="preserve"> 203</v>
          </cell>
          <cell r="G543" t="str">
            <v>152</v>
          </cell>
          <cell r="H543">
            <v>15.9</v>
          </cell>
          <cell r="K543">
            <v>710</v>
          </cell>
          <cell r="L543">
            <v>5391.69</v>
          </cell>
          <cell r="O543" t="str">
            <v>A572 G50</v>
          </cell>
          <cell r="P543" t="str">
            <v>AE</v>
          </cell>
        </row>
        <row r="544">
          <cell r="A544">
            <v>543</v>
          </cell>
          <cell r="B544" t="str">
            <v>"L" PERFIL ANGULAR LAMINADO A572</v>
          </cell>
          <cell r="C544" t="str">
            <v>L 203x152x19</v>
          </cell>
          <cell r="D544">
            <v>50.114400000000003</v>
          </cell>
          <cell r="E544">
            <v>50.114400000000003</v>
          </cell>
          <cell r="F544" t="str">
            <v xml:space="preserve"> 203</v>
          </cell>
          <cell r="G544" t="str">
            <v>152</v>
          </cell>
          <cell r="H544" t="str">
            <v>19</v>
          </cell>
          <cell r="K544">
            <v>710</v>
          </cell>
          <cell r="L544">
            <v>6384</v>
          </cell>
          <cell r="O544" t="str">
            <v>A572 G50</v>
          </cell>
          <cell r="P544" t="str">
            <v>AE</v>
          </cell>
        </row>
        <row r="545">
          <cell r="A545">
            <v>544</v>
          </cell>
          <cell r="B545" t="str">
            <v>PERFIL C A572 GR 50.</v>
          </cell>
          <cell r="C545" t="str">
            <v>C 130x10</v>
          </cell>
          <cell r="D545">
            <v>10</v>
          </cell>
          <cell r="E545">
            <v>10</v>
          </cell>
          <cell r="F545">
            <v>44.45</v>
          </cell>
          <cell r="G545">
            <v>127</v>
          </cell>
          <cell r="H545">
            <v>4.83</v>
          </cell>
          <cell r="I545">
            <v>8.1300000000000008</v>
          </cell>
          <cell r="K545">
            <v>417.31</v>
          </cell>
          <cell r="O545" t="str">
            <v>A572 G50</v>
          </cell>
          <cell r="P545" t="str">
            <v>AE</v>
          </cell>
        </row>
        <row r="546">
          <cell r="A546">
            <v>545</v>
          </cell>
          <cell r="B546" t="str">
            <v>PERFIL C A572 GR 50.</v>
          </cell>
          <cell r="C546" t="str">
            <v>C 150x12</v>
          </cell>
          <cell r="D546">
            <v>12</v>
          </cell>
          <cell r="E546">
            <v>12</v>
          </cell>
          <cell r="F546">
            <v>48.77</v>
          </cell>
          <cell r="G546">
            <v>152</v>
          </cell>
          <cell r="H546">
            <v>5.08</v>
          </cell>
          <cell r="I546">
            <v>8.6999999999999993</v>
          </cell>
          <cell r="K546">
            <v>483.84000000000003</v>
          </cell>
          <cell r="O546" t="str">
            <v>A572 G50</v>
          </cell>
          <cell r="P546" t="str">
            <v>AE</v>
          </cell>
        </row>
        <row r="547">
          <cell r="A547">
            <v>546</v>
          </cell>
          <cell r="B547" t="str">
            <v>PERFIL C A572 GR 50.</v>
          </cell>
          <cell r="C547" t="str">
            <v>C 180x14.6</v>
          </cell>
          <cell r="D547">
            <v>14.6</v>
          </cell>
          <cell r="E547">
            <v>14.6</v>
          </cell>
          <cell r="F547">
            <v>53.09</v>
          </cell>
          <cell r="G547">
            <v>178</v>
          </cell>
          <cell r="H547">
            <v>5.33</v>
          </cell>
          <cell r="I547">
            <v>9.3000000000000007</v>
          </cell>
          <cell r="K547">
            <v>552.37</v>
          </cell>
          <cell r="O547" t="str">
            <v>A572 G50</v>
          </cell>
          <cell r="P547" t="str">
            <v>AE</v>
          </cell>
        </row>
        <row r="548">
          <cell r="A548">
            <v>547</v>
          </cell>
          <cell r="B548" t="str">
            <v>PERFIL C A572 GR 50.</v>
          </cell>
          <cell r="C548" t="str">
            <v>C 200x17.1</v>
          </cell>
          <cell r="D548">
            <v>17.100000000000001</v>
          </cell>
          <cell r="E548">
            <v>17.100000000000001</v>
          </cell>
          <cell r="F548">
            <v>57.4</v>
          </cell>
          <cell r="G548">
            <v>203</v>
          </cell>
          <cell r="H548">
            <v>5.6</v>
          </cell>
          <cell r="I548">
            <v>9.9</v>
          </cell>
          <cell r="K548">
            <v>618.80000000000007</v>
          </cell>
          <cell r="O548" t="str">
            <v>A572 G50</v>
          </cell>
          <cell r="P548" t="str">
            <v>AE</v>
          </cell>
        </row>
        <row r="549">
          <cell r="A549">
            <v>548</v>
          </cell>
          <cell r="B549" t="str">
            <v>TUBO RECTANGULAR A572 GR 50.</v>
          </cell>
          <cell r="C549" t="str">
            <v>HSS 76.2x50.8x6.35</v>
          </cell>
          <cell r="D549">
            <v>11.3951385</v>
          </cell>
          <cell r="E549">
            <v>11.3951385</v>
          </cell>
          <cell r="F549">
            <v>76.2</v>
          </cell>
          <cell r="G549">
            <v>50.8</v>
          </cell>
          <cell r="H549">
            <v>6.35</v>
          </cell>
          <cell r="K549">
            <v>254</v>
          </cell>
          <cell r="L549">
            <v>1451.61</v>
          </cell>
          <cell r="O549" t="str">
            <v>A572 G50</v>
          </cell>
          <cell r="P549" t="str">
            <v>AE</v>
          </cell>
        </row>
        <row r="550">
          <cell r="A550">
            <v>549</v>
          </cell>
          <cell r="B550" t="str">
            <v>TUBO RECTANGULAR A572 GR 50.</v>
          </cell>
          <cell r="C550" t="str">
            <v>HSS 76.2x50.8x7.95</v>
          </cell>
          <cell r="D550">
            <v>13.866946499999999</v>
          </cell>
          <cell r="E550">
            <v>13.866946499999999</v>
          </cell>
          <cell r="F550">
            <v>76.2</v>
          </cell>
          <cell r="G550">
            <v>50.8</v>
          </cell>
          <cell r="H550">
            <v>7.95</v>
          </cell>
          <cell r="K550">
            <v>254</v>
          </cell>
          <cell r="L550">
            <v>1766.49</v>
          </cell>
          <cell r="O550" t="str">
            <v>A572 G50</v>
          </cell>
          <cell r="P550" t="str">
            <v>AE</v>
          </cell>
        </row>
        <row r="551">
          <cell r="A551">
            <v>550</v>
          </cell>
          <cell r="B551" t="str">
            <v>TUBO RECTANGULAR A572 GR 50.</v>
          </cell>
          <cell r="C551" t="str">
            <v>HSS 76x51x8</v>
          </cell>
          <cell r="D551">
            <v>13.941599999999999</v>
          </cell>
          <cell r="E551">
            <v>13.941599999999999</v>
          </cell>
          <cell r="F551" t="str">
            <v xml:space="preserve"> 76</v>
          </cell>
          <cell r="G551" t="str">
            <v>51</v>
          </cell>
          <cell r="H551" t="str">
            <v>8</v>
          </cell>
          <cell r="K551">
            <v>254</v>
          </cell>
          <cell r="L551">
            <v>1776</v>
          </cell>
          <cell r="O551" t="str">
            <v>A572 G50</v>
          </cell>
          <cell r="P551" t="str">
            <v>AE</v>
          </cell>
        </row>
        <row r="552">
          <cell r="A552">
            <v>551</v>
          </cell>
          <cell r="B552" t="str">
            <v>TUBO RECTANGULAR A572 GR 50.</v>
          </cell>
          <cell r="C552" t="str">
            <v>HSS 76x51x6</v>
          </cell>
          <cell r="D552">
            <v>10.833</v>
          </cell>
          <cell r="E552">
            <v>10.833</v>
          </cell>
          <cell r="F552" t="str">
            <v xml:space="preserve"> 76</v>
          </cell>
          <cell r="G552" t="str">
            <v>51</v>
          </cell>
          <cell r="H552" t="str">
            <v>6</v>
          </cell>
          <cell r="K552">
            <v>254</v>
          </cell>
          <cell r="L552">
            <v>1380</v>
          </cell>
          <cell r="O552" t="str">
            <v>A572 G50</v>
          </cell>
          <cell r="P552" t="str">
            <v>AE</v>
          </cell>
        </row>
        <row r="553">
          <cell r="A553">
            <v>552</v>
          </cell>
          <cell r="B553" t="str">
            <v>TUBO RECTANGULAR A572 GR 50.</v>
          </cell>
          <cell r="C553" t="str">
            <v>HSS 101.6x50.8x7.95</v>
          </cell>
          <cell r="F553">
            <v>101.6</v>
          </cell>
          <cell r="G553">
            <v>50.8</v>
          </cell>
          <cell r="H553">
            <v>7.95</v>
          </cell>
          <cell r="K553">
            <v>304.79999999999995</v>
          </cell>
          <cell r="L553">
            <v>2170.3499999999995</v>
          </cell>
          <cell r="O553" t="str">
            <v>A572 G50</v>
          </cell>
          <cell r="P553" t="str">
            <v>AE</v>
          </cell>
        </row>
        <row r="554">
          <cell r="A554">
            <v>553</v>
          </cell>
          <cell r="B554" t="str">
            <v>TUBO RECTANGULAR A572 GR 50.</v>
          </cell>
          <cell r="C554" t="str">
            <v>HSS 101.6x76.2x6.35</v>
          </cell>
          <cell r="D554">
            <v>16.4596445</v>
          </cell>
          <cell r="E554">
            <v>16.4596445</v>
          </cell>
          <cell r="F554">
            <v>101.6</v>
          </cell>
          <cell r="G554">
            <v>76.2</v>
          </cell>
          <cell r="H554">
            <v>6.35</v>
          </cell>
          <cell r="K554">
            <v>355.6</v>
          </cell>
          <cell r="L554">
            <v>2096.77</v>
          </cell>
          <cell r="O554" t="str">
            <v>A572 G50</v>
          </cell>
          <cell r="P554" t="str">
            <v>AE</v>
          </cell>
        </row>
        <row r="555">
          <cell r="A555">
            <v>554</v>
          </cell>
          <cell r="B555" t="str">
            <v>TUBO RECTANGULAR A572 GR 50.</v>
          </cell>
          <cell r="C555" t="str">
            <v>HSS 102x51x6.4</v>
          </cell>
          <cell r="D555">
            <v>14.087296</v>
          </cell>
          <cell r="E555">
            <v>14.087296</v>
          </cell>
          <cell r="F555" t="str">
            <v xml:space="preserve"> 102</v>
          </cell>
          <cell r="G555" t="str">
            <v>51</v>
          </cell>
          <cell r="H555" t="str">
            <v>6.4</v>
          </cell>
          <cell r="K555">
            <v>306</v>
          </cell>
          <cell r="L555">
            <v>1794.56</v>
          </cell>
          <cell r="O555" t="str">
            <v>A572 G50</v>
          </cell>
          <cell r="P555" t="str">
            <v>AE</v>
          </cell>
        </row>
        <row r="556">
          <cell r="A556">
            <v>555</v>
          </cell>
          <cell r="B556" t="str">
            <v>TUBO RECTANGULAR A572 GR 50.</v>
          </cell>
          <cell r="C556" t="str">
            <v>HSS 102x51x8</v>
          </cell>
          <cell r="D556">
            <v>17.2072</v>
          </cell>
          <cell r="E556">
            <v>17.2072</v>
          </cell>
          <cell r="F556" t="str">
            <v xml:space="preserve"> 102</v>
          </cell>
          <cell r="G556" t="str">
            <v>51</v>
          </cell>
          <cell r="H556" t="str">
            <v>8</v>
          </cell>
          <cell r="K556">
            <v>306</v>
          </cell>
          <cell r="L556">
            <v>2192</v>
          </cell>
          <cell r="O556" t="str">
            <v>A572 G50</v>
          </cell>
          <cell r="P556" t="str">
            <v>AE</v>
          </cell>
        </row>
        <row r="557">
          <cell r="A557">
            <v>556</v>
          </cell>
          <cell r="B557" t="str">
            <v>TUBO RECTANGULAR A572 GR 50.</v>
          </cell>
          <cell r="C557" t="str">
            <v>HSS 102x102x6</v>
          </cell>
          <cell r="D557">
            <v>18.086400000000001</v>
          </cell>
          <cell r="E557">
            <v>18.086400000000001</v>
          </cell>
          <cell r="F557" t="str">
            <v xml:space="preserve"> 102</v>
          </cell>
          <cell r="G557" t="str">
            <v>102</v>
          </cell>
          <cell r="H557" t="str">
            <v>6</v>
          </cell>
          <cell r="K557">
            <v>408</v>
          </cell>
          <cell r="L557">
            <v>2304</v>
          </cell>
          <cell r="O557" t="str">
            <v>A572 G50</v>
          </cell>
          <cell r="P557" t="str">
            <v>AE</v>
          </cell>
        </row>
        <row r="558">
          <cell r="A558">
            <v>557</v>
          </cell>
          <cell r="B558" t="str">
            <v>TUBO RECTANGULAR A572 GR 50.</v>
          </cell>
          <cell r="C558" t="str">
            <v>HSS 203x102x9.5</v>
          </cell>
          <cell r="D558">
            <v>42.6569</v>
          </cell>
          <cell r="E558">
            <v>42.6569</v>
          </cell>
          <cell r="F558" t="str">
            <v xml:space="preserve"> 203</v>
          </cell>
          <cell r="G558" t="str">
            <v>102</v>
          </cell>
          <cell r="H558" t="str">
            <v>9.5</v>
          </cell>
          <cell r="K558">
            <v>610</v>
          </cell>
          <cell r="L558">
            <v>5434</v>
          </cell>
          <cell r="O558" t="str">
            <v>A572 G50</v>
          </cell>
          <cell r="P558" t="str">
            <v>AE</v>
          </cell>
        </row>
        <row r="559">
          <cell r="A559">
            <v>558</v>
          </cell>
          <cell r="B559" t="str">
            <v>TUBO RECTANGULAR A572 GR 50.</v>
          </cell>
          <cell r="C559" t="str">
            <v>HSS 305x203x9.5</v>
          </cell>
          <cell r="D559">
            <v>72.934349999999995</v>
          </cell>
          <cell r="E559">
            <v>72.934349999999995</v>
          </cell>
          <cell r="F559" t="str">
            <v xml:space="preserve"> 305</v>
          </cell>
          <cell r="G559" t="str">
            <v>203</v>
          </cell>
          <cell r="H559" t="str">
            <v>9.5</v>
          </cell>
          <cell r="K559">
            <v>1016</v>
          </cell>
          <cell r="L559">
            <v>9291</v>
          </cell>
          <cell r="O559" t="str">
            <v>A572 G50</v>
          </cell>
          <cell r="P559" t="str">
            <v>AE</v>
          </cell>
        </row>
        <row r="560">
          <cell r="A560">
            <v>559</v>
          </cell>
          <cell r="B560" t="str">
            <v>TUBO RECTANGULAR A572 GR 50.</v>
          </cell>
          <cell r="C560" t="str">
            <v>HSS 305x203x12</v>
          </cell>
          <cell r="D560">
            <v>91.185599999999994</v>
          </cell>
          <cell r="E560">
            <v>91.185599999999994</v>
          </cell>
          <cell r="F560" t="str">
            <v xml:space="preserve"> 305</v>
          </cell>
          <cell r="G560" t="str">
            <v>203</v>
          </cell>
          <cell r="H560" t="str">
            <v>12</v>
          </cell>
          <cell r="K560">
            <v>1016</v>
          </cell>
          <cell r="L560">
            <v>11616</v>
          </cell>
          <cell r="O560" t="str">
            <v>A572 G50</v>
          </cell>
          <cell r="P560" t="str">
            <v>AE</v>
          </cell>
        </row>
        <row r="561">
          <cell r="A561">
            <v>560</v>
          </cell>
          <cell r="B561" t="str">
            <v>TUBO CUADRADO A572 GR 50.</v>
          </cell>
          <cell r="C561" t="str">
            <v>HSS 51x51x3</v>
          </cell>
          <cell r="D561">
            <v>4.5216000000000003</v>
          </cell>
          <cell r="E561">
            <v>4.5216000000000003</v>
          </cell>
          <cell r="F561" t="str">
            <v xml:space="preserve"> 51</v>
          </cell>
          <cell r="G561" t="str">
            <v>51</v>
          </cell>
          <cell r="H561" t="str">
            <v>3</v>
          </cell>
          <cell r="K561">
            <v>204</v>
          </cell>
          <cell r="L561">
            <v>576</v>
          </cell>
          <cell r="O561" t="str">
            <v>A572 G50</v>
          </cell>
          <cell r="P561" t="str">
            <v>AE</v>
          </cell>
        </row>
        <row r="562">
          <cell r="A562">
            <v>561</v>
          </cell>
          <cell r="B562" t="str">
            <v>TUBO CUADRADO A572 GR 50.</v>
          </cell>
          <cell r="C562" t="str">
            <v>HSS 51x51x4</v>
          </cell>
          <cell r="D562">
            <v>5.9032</v>
          </cell>
          <cell r="E562">
            <v>5.9032</v>
          </cell>
          <cell r="F562" t="str">
            <v xml:space="preserve"> 51</v>
          </cell>
          <cell r="G562" t="str">
            <v>51</v>
          </cell>
          <cell r="H562" t="str">
            <v>4</v>
          </cell>
          <cell r="K562">
            <v>204</v>
          </cell>
          <cell r="L562">
            <v>752</v>
          </cell>
          <cell r="O562" t="str">
            <v>A572 G50</v>
          </cell>
          <cell r="P562" t="str">
            <v>AE</v>
          </cell>
        </row>
        <row r="563">
          <cell r="A563">
            <v>562</v>
          </cell>
          <cell r="B563" t="str">
            <v>TUBO CUADRADO A572 GR 50.</v>
          </cell>
          <cell r="C563" t="str">
            <v>HSS 51x51x5</v>
          </cell>
          <cell r="D563">
            <v>7.2220000000000004</v>
          </cell>
          <cell r="E563">
            <v>7.2220000000000004</v>
          </cell>
          <cell r="F563" t="str">
            <v xml:space="preserve"> 51</v>
          </cell>
          <cell r="G563" t="str">
            <v>51</v>
          </cell>
          <cell r="H563" t="str">
            <v>5</v>
          </cell>
          <cell r="K563">
            <v>204</v>
          </cell>
          <cell r="L563">
            <v>920</v>
          </cell>
          <cell r="O563" t="str">
            <v>A572 G50</v>
          </cell>
          <cell r="P563" t="str">
            <v>AE</v>
          </cell>
        </row>
        <row r="564">
          <cell r="A564">
            <v>563</v>
          </cell>
          <cell r="B564" t="str">
            <v>TUBO CUADRADO A572 GR 50.</v>
          </cell>
          <cell r="C564" t="str">
            <v>HSS 51x51x6</v>
          </cell>
          <cell r="D564">
            <v>8.4779999999999998</v>
          </cell>
          <cell r="E564">
            <v>8.4779999999999998</v>
          </cell>
          <cell r="F564" t="str">
            <v xml:space="preserve"> 51</v>
          </cell>
          <cell r="G564" t="str">
            <v>51</v>
          </cell>
          <cell r="H564" t="str">
            <v>6</v>
          </cell>
          <cell r="K564">
            <v>204</v>
          </cell>
          <cell r="L564">
            <v>1080</v>
          </cell>
          <cell r="O564" t="str">
            <v>A572 G50</v>
          </cell>
          <cell r="P564" t="str">
            <v>AE</v>
          </cell>
        </row>
        <row r="565">
          <cell r="A565">
            <v>564</v>
          </cell>
          <cell r="B565" t="str">
            <v>TUBO CUADRADO A572 GR 50.</v>
          </cell>
          <cell r="C565" t="str">
            <v>HSS 76x76x5</v>
          </cell>
          <cell r="D565">
            <v>11.147</v>
          </cell>
          <cell r="E565">
            <v>11.147</v>
          </cell>
          <cell r="F565" t="str">
            <v xml:space="preserve"> 76</v>
          </cell>
          <cell r="G565" t="str">
            <v>76</v>
          </cell>
          <cell r="H565" t="str">
            <v>5</v>
          </cell>
          <cell r="K565">
            <v>304</v>
          </cell>
          <cell r="L565">
            <v>1420</v>
          </cell>
          <cell r="O565" t="str">
            <v>A572 G50</v>
          </cell>
          <cell r="P565" t="str">
            <v>AE</v>
          </cell>
        </row>
        <row r="566">
          <cell r="A566">
            <v>565</v>
          </cell>
          <cell r="B566" t="str">
            <v>TUBO CUADRADO A572 GR 50.</v>
          </cell>
          <cell r="C566" t="str">
            <v>HSS 152x152x6</v>
          </cell>
          <cell r="D566">
            <v>27.506399999999999</v>
          </cell>
          <cell r="E566">
            <v>27.506399999999999</v>
          </cell>
          <cell r="F566" t="str">
            <v xml:space="preserve"> 152</v>
          </cell>
          <cell r="G566" t="str">
            <v>152</v>
          </cell>
          <cell r="H566" t="str">
            <v>6</v>
          </cell>
          <cell r="K566">
            <v>608</v>
          </cell>
          <cell r="L566">
            <v>3504</v>
          </cell>
          <cell r="O566" t="str">
            <v>A572 G50</v>
          </cell>
          <cell r="P566" t="str">
            <v>AE</v>
          </cell>
        </row>
        <row r="567">
          <cell r="A567">
            <v>566</v>
          </cell>
          <cell r="B567" t="str">
            <v>TUBO CUADRADO A572 GR 50.</v>
          </cell>
          <cell r="C567" t="str">
            <v>HSS 178x178x6</v>
          </cell>
          <cell r="D567">
            <v>32.404800000000002</v>
          </cell>
          <cell r="E567">
            <v>32.404800000000002</v>
          </cell>
          <cell r="F567" t="str">
            <v xml:space="preserve"> 178</v>
          </cell>
          <cell r="G567" t="str">
            <v>178</v>
          </cell>
          <cell r="H567" t="str">
            <v>6</v>
          </cell>
          <cell r="K567">
            <v>712</v>
          </cell>
          <cell r="L567">
            <v>4128</v>
          </cell>
          <cell r="O567" t="str">
            <v>A572 G50</v>
          </cell>
          <cell r="P567" t="str">
            <v>AE</v>
          </cell>
        </row>
        <row r="568">
          <cell r="A568">
            <v>567</v>
          </cell>
          <cell r="B568" t="str">
            <v>TUBO CUADRADO A572 GR 50.</v>
          </cell>
          <cell r="C568" t="str">
            <v>HSS 102x102x6</v>
          </cell>
          <cell r="D568">
            <v>18.086400000000001</v>
          </cell>
          <cell r="E568">
            <v>18.086400000000001</v>
          </cell>
          <cell r="F568" t="str">
            <v xml:space="preserve"> 102</v>
          </cell>
          <cell r="G568" t="str">
            <v>102</v>
          </cell>
          <cell r="H568" t="str">
            <v>6</v>
          </cell>
          <cell r="K568">
            <v>408</v>
          </cell>
          <cell r="L568">
            <v>2304</v>
          </cell>
          <cell r="O568" t="str">
            <v>A572 G50</v>
          </cell>
          <cell r="P568" t="str">
            <v>AE</v>
          </cell>
        </row>
        <row r="569">
          <cell r="A569">
            <v>568</v>
          </cell>
          <cell r="B569" t="str">
            <v>TUBO CUADRADO A572 GR 50.</v>
          </cell>
          <cell r="C569" t="str">
            <v>HSS 200x200x6</v>
          </cell>
          <cell r="D569">
            <v>36.549599999999998</v>
          </cell>
          <cell r="E569">
            <v>36.549599999999998</v>
          </cell>
          <cell r="F569" t="str">
            <v xml:space="preserve"> 200</v>
          </cell>
          <cell r="G569" t="str">
            <v>200</v>
          </cell>
          <cell r="H569" t="str">
            <v>6</v>
          </cell>
          <cell r="K569">
            <v>800</v>
          </cell>
          <cell r="L569">
            <v>4656</v>
          </cell>
          <cell r="O569" t="str">
            <v>A572 G50</v>
          </cell>
          <cell r="P569" t="str">
            <v>AE</v>
          </cell>
        </row>
        <row r="570">
          <cell r="A570">
            <v>569</v>
          </cell>
          <cell r="B570" t="str">
            <v>TUBO CUADRADO A572 GR 50.</v>
          </cell>
          <cell r="C570" t="str">
            <v>HSS 200x200x8</v>
          </cell>
          <cell r="D570">
            <v>48.230400000000003</v>
          </cell>
          <cell r="E570">
            <v>48.230400000000003</v>
          </cell>
          <cell r="F570" t="str">
            <v xml:space="preserve"> 200</v>
          </cell>
          <cell r="G570" t="str">
            <v>200</v>
          </cell>
          <cell r="H570" t="str">
            <v>8</v>
          </cell>
          <cell r="K570">
            <v>800</v>
          </cell>
          <cell r="L570">
            <v>6144</v>
          </cell>
          <cell r="O570" t="str">
            <v>A572 G50</v>
          </cell>
          <cell r="P570" t="str">
            <v>AE</v>
          </cell>
        </row>
        <row r="571">
          <cell r="A571">
            <v>570</v>
          </cell>
          <cell r="B571" t="str">
            <v>TUBO CUADRADO A572 GR 50.</v>
          </cell>
          <cell r="C571" t="str">
            <v>HSS 203x203x6</v>
          </cell>
          <cell r="D571">
            <v>37.114800000000002</v>
          </cell>
          <cell r="E571">
            <v>37.114800000000002</v>
          </cell>
          <cell r="F571" t="str">
            <v xml:space="preserve"> 203</v>
          </cell>
          <cell r="G571" t="str">
            <v>203</v>
          </cell>
          <cell r="H571" t="str">
            <v>6</v>
          </cell>
          <cell r="K571">
            <v>812</v>
          </cell>
          <cell r="L571">
            <v>4728</v>
          </cell>
          <cell r="O571" t="str">
            <v>A572 G50</v>
          </cell>
          <cell r="P571" t="str">
            <v>AE</v>
          </cell>
        </row>
        <row r="572">
          <cell r="A572">
            <v>571</v>
          </cell>
          <cell r="B572" t="str">
            <v>TUBO CUADRADO A572 GR 50.</v>
          </cell>
          <cell r="C572" t="str">
            <v>HSS 203x203x8</v>
          </cell>
          <cell r="D572">
            <v>48.984000000000002</v>
          </cell>
          <cell r="E572">
            <v>48.984000000000002</v>
          </cell>
          <cell r="F572" t="str">
            <v xml:space="preserve"> 203</v>
          </cell>
          <cell r="G572" t="str">
            <v>203</v>
          </cell>
          <cell r="H572" t="str">
            <v>8</v>
          </cell>
          <cell r="K572">
            <v>812</v>
          </cell>
          <cell r="L572">
            <v>6240</v>
          </cell>
          <cell r="O572" t="str">
            <v>A572 G50</v>
          </cell>
          <cell r="P572" t="str">
            <v>AE</v>
          </cell>
        </row>
        <row r="573">
          <cell r="A573">
            <v>572</v>
          </cell>
          <cell r="B573" t="str">
            <v>TUBO CUADRADO A572 GR 50.</v>
          </cell>
          <cell r="C573" t="str">
            <v>HSS 203x203x10</v>
          </cell>
          <cell r="D573">
            <v>60.601999999999997</v>
          </cell>
          <cell r="E573">
            <v>60.601999999999997</v>
          </cell>
          <cell r="F573" t="str">
            <v xml:space="preserve"> 203</v>
          </cell>
          <cell r="G573" t="str">
            <v>203</v>
          </cell>
          <cell r="H573" t="str">
            <v>10</v>
          </cell>
          <cell r="K573">
            <v>812</v>
          </cell>
          <cell r="L573">
            <v>7720</v>
          </cell>
          <cell r="O573" t="str">
            <v>A572 G50</v>
          </cell>
          <cell r="P573" t="str">
            <v>AE</v>
          </cell>
        </row>
        <row r="574">
          <cell r="A574">
            <v>573</v>
          </cell>
          <cell r="B574" t="str">
            <v>TUBO CUADRADO A572 GR 50.</v>
          </cell>
          <cell r="C574" t="str">
            <v>HSS 203x203x12</v>
          </cell>
          <cell r="D574">
            <v>71.968800000000002</v>
          </cell>
          <cell r="E574">
            <v>71.968800000000002</v>
          </cell>
          <cell r="F574" t="str">
            <v xml:space="preserve"> 203</v>
          </cell>
          <cell r="G574" t="str">
            <v>203</v>
          </cell>
          <cell r="H574" t="str">
            <v>12</v>
          </cell>
          <cell r="K574">
            <v>812</v>
          </cell>
          <cell r="L574">
            <v>9168</v>
          </cell>
          <cell r="O574" t="str">
            <v>A572 G50</v>
          </cell>
          <cell r="P574" t="str">
            <v>AE</v>
          </cell>
        </row>
        <row r="575">
          <cell r="A575">
            <v>574</v>
          </cell>
          <cell r="B575" t="str">
            <v>TUBO CUADRADO A572 GR 50.</v>
          </cell>
          <cell r="C575" t="str">
            <v>HSS 305x305x8</v>
          </cell>
          <cell r="D575">
            <v>74.606399999999994</v>
          </cell>
          <cell r="E575">
            <v>74.606399999999994</v>
          </cell>
          <cell r="F575" t="str">
            <v xml:space="preserve"> 305</v>
          </cell>
          <cell r="G575" t="str">
            <v>305</v>
          </cell>
          <cell r="H575" t="str">
            <v>8</v>
          </cell>
          <cell r="K575">
            <v>1220</v>
          </cell>
          <cell r="L575">
            <v>9504</v>
          </cell>
          <cell r="O575" t="str">
            <v>A572 G50</v>
          </cell>
          <cell r="P575" t="str">
            <v>AE</v>
          </cell>
        </row>
        <row r="576">
          <cell r="A576">
            <v>575</v>
          </cell>
          <cell r="B576" t="str">
            <v>TUBO CUADRADO A572 GR 50.</v>
          </cell>
          <cell r="C576" t="str">
            <v>HSS 305x305x12</v>
          </cell>
          <cell r="D576">
            <v>110.4024</v>
          </cell>
          <cell r="E576">
            <v>110.4024</v>
          </cell>
          <cell r="F576" t="str">
            <v xml:space="preserve"> 305</v>
          </cell>
          <cell r="G576" t="str">
            <v>305</v>
          </cell>
          <cell r="H576" t="str">
            <v>12</v>
          </cell>
          <cell r="K576">
            <v>1220</v>
          </cell>
          <cell r="L576">
            <v>14064</v>
          </cell>
          <cell r="O576" t="str">
            <v>A572 G50</v>
          </cell>
          <cell r="P576" t="str">
            <v>AE</v>
          </cell>
        </row>
        <row r="577">
          <cell r="A577">
            <v>576</v>
          </cell>
          <cell r="B577" t="str">
            <v>TUBO CUADRADO A572 GR 50.</v>
          </cell>
          <cell r="C577" t="str">
            <v>HSS 305x305x13</v>
          </cell>
          <cell r="D577">
            <v>119.1944</v>
          </cell>
          <cell r="E577">
            <v>119.1944</v>
          </cell>
          <cell r="F577" t="str">
            <v xml:space="preserve"> 305</v>
          </cell>
          <cell r="G577" t="str">
            <v>305</v>
          </cell>
          <cell r="H577" t="str">
            <v>13</v>
          </cell>
          <cell r="K577">
            <v>1220</v>
          </cell>
          <cell r="L577">
            <v>15184</v>
          </cell>
          <cell r="O577" t="str">
            <v>A572 G50</v>
          </cell>
          <cell r="P577" t="str">
            <v>AE</v>
          </cell>
        </row>
        <row r="578">
          <cell r="A578">
            <v>577</v>
          </cell>
          <cell r="B578" t="str">
            <v>TUBO REDONDO A572 GR 50.</v>
          </cell>
          <cell r="C578" t="str">
            <v>HSS  ø 168x10</v>
          </cell>
          <cell r="D578">
            <v>38.965264800000007</v>
          </cell>
          <cell r="E578">
            <v>38.965264800000007</v>
          </cell>
          <cell r="F578" t="str">
            <v xml:space="preserve"> 168</v>
          </cell>
          <cell r="H578" t="str">
            <v>10</v>
          </cell>
          <cell r="K578">
            <v>527.78711999999996</v>
          </cell>
          <cell r="L578">
            <v>4963.7280000000001</v>
          </cell>
          <cell r="O578" t="str">
            <v>A572 G50</v>
          </cell>
          <cell r="P578" t="str">
            <v>AE</v>
          </cell>
        </row>
        <row r="579">
          <cell r="A579">
            <v>578</v>
          </cell>
          <cell r="B579" t="str">
            <v>TUBO REDONDO A572 GR 50.</v>
          </cell>
          <cell r="C579" t="str">
            <v>HSS  ø 219x6</v>
          </cell>
          <cell r="D579">
            <v>31.517473680000002</v>
          </cell>
          <cell r="E579">
            <v>31.517473680000002</v>
          </cell>
          <cell r="F579" t="str">
            <v xml:space="preserve"> 219</v>
          </cell>
          <cell r="H579" t="str">
            <v>6</v>
          </cell>
          <cell r="K579">
            <v>688.00820999999996</v>
          </cell>
          <cell r="L579">
            <v>4014.9647999999997</v>
          </cell>
          <cell r="O579" t="str">
            <v>A572 G50</v>
          </cell>
          <cell r="P579" t="str">
            <v>AE</v>
          </cell>
        </row>
        <row r="580">
          <cell r="A580">
            <v>579</v>
          </cell>
          <cell r="B580" t="str">
            <v>TUBO REDONDO A572 GR 50.</v>
          </cell>
          <cell r="C580" t="str">
            <v>HSS  ø 273x6</v>
          </cell>
          <cell r="D580">
            <v>39.507819120000001</v>
          </cell>
          <cell r="E580">
            <v>39.507819120000001</v>
          </cell>
          <cell r="F580" t="str">
            <v xml:space="preserve"> 273</v>
          </cell>
          <cell r="H580" t="str">
            <v>6</v>
          </cell>
          <cell r="K580">
            <v>857.65406999999993</v>
          </cell>
          <cell r="L580">
            <v>5032.8432000000003</v>
          </cell>
          <cell r="O580" t="str">
            <v>A572 G50</v>
          </cell>
          <cell r="P580" t="str">
            <v>AE</v>
          </cell>
        </row>
        <row r="581">
          <cell r="A581">
            <v>580</v>
          </cell>
          <cell r="B581" t="str">
            <v>TUBO REDONDO A572 GR 50.</v>
          </cell>
          <cell r="C581" t="str">
            <v>HSS  ø 324x6</v>
          </cell>
          <cell r="D581">
            <v>47.054256480000006</v>
          </cell>
          <cell r="E581">
            <v>47.054256480000006</v>
          </cell>
          <cell r="F581" t="str">
            <v xml:space="preserve"> 324</v>
          </cell>
          <cell r="H581" t="str">
            <v>6</v>
          </cell>
          <cell r="K581">
            <v>1017.8751599999999</v>
          </cell>
          <cell r="L581">
            <v>5994.1728000000003</v>
          </cell>
          <cell r="O581" t="str">
            <v>A572 G50</v>
          </cell>
          <cell r="P581" t="str">
            <v>AE</v>
          </cell>
        </row>
        <row r="582">
          <cell r="A582">
            <v>581</v>
          </cell>
          <cell r="B582" t="str">
            <v>TUBO REDONDO A572 GR 50.</v>
          </cell>
          <cell r="C582" t="str">
            <v>HSS  ø 406x10</v>
          </cell>
          <cell r="D582">
            <v>97.659777599999998</v>
          </cell>
          <cell r="E582">
            <v>97.659777599999998</v>
          </cell>
          <cell r="F582" t="str">
            <v xml:space="preserve"> 406</v>
          </cell>
          <cell r="H582" t="str">
            <v>10</v>
          </cell>
          <cell r="K582">
            <v>1275.4855399999999</v>
          </cell>
          <cell r="L582">
            <v>12440.735999999999</v>
          </cell>
          <cell r="O582" t="str">
            <v>A572 G50</v>
          </cell>
          <cell r="P582" t="str">
            <v>AE</v>
          </cell>
        </row>
        <row r="583">
          <cell r="A583">
            <v>582</v>
          </cell>
          <cell r="B583" t="str">
            <v>TUBO REDONDO A572 GR 50.</v>
          </cell>
          <cell r="C583" t="str">
            <v>HSS  ø 550x13</v>
          </cell>
          <cell r="D583">
            <v>172.16235036</v>
          </cell>
          <cell r="E583">
            <v>172.16235036</v>
          </cell>
          <cell r="F583" t="str">
            <v xml:space="preserve"> 550</v>
          </cell>
          <cell r="H583" t="str">
            <v>13</v>
          </cell>
          <cell r="K583">
            <v>1727.8744999999999</v>
          </cell>
          <cell r="L583">
            <v>21931.509600000001</v>
          </cell>
          <cell r="O583" t="str">
            <v>A572 G50</v>
          </cell>
          <cell r="P583" t="str">
            <v>AE</v>
          </cell>
        </row>
        <row r="584">
          <cell r="A584">
            <v>583</v>
          </cell>
          <cell r="B584" t="str">
            <v>PERFIL WT A572 GR 50.</v>
          </cell>
          <cell r="C584" t="str">
            <v>WT 100x9.5</v>
          </cell>
          <cell r="D584">
            <v>9.5</v>
          </cell>
          <cell r="E584">
            <v>9.5</v>
          </cell>
          <cell r="F584">
            <v>101.5</v>
          </cell>
          <cell r="G584">
            <v>102</v>
          </cell>
          <cell r="H584">
            <v>5.8</v>
          </cell>
          <cell r="I584">
            <v>6.5</v>
          </cell>
          <cell r="K584">
            <v>407</v>
          </cell>
          <cell r="L584">
            <v>1240</v>
          </cell>
          <cell r="O584" t="str">
            <v>A572 G50</v>
          </cell>
          <cell r="P584" t="str">
            <v>AE</v>
          </cell>
        </row>
        <row r="585">
          <cell r="A585">
            <v>584</v>
          </cell>
          <cell r="B585" t="str">
            <v>PERFIL WT A572 GR 50.</v>
          </cell>
          <cell r="C585" t="str">
            <v xml:space="preserve">WT 100x13.5 </v>
          </cell>
          <cell r="D585">
            <v>13.5</v>
          </cell>
          <cell r="E585">
            <v>13.5</v>
          </cell>
          <cell r="F585">
            <v>103.5</v>
          </cell>
          <cell r="G585">
            <v>133</v>
          </cell>
          <cell r="H585">
            <v>5.8</v>
          </cell>
          <cell r="I585">
            <v>8.4</v>
          </cell>
          <cell r="K585">
            <v>473</v>
          </cell>
          <cell r="L585">
            <v>1690</v>
          </cell>
          <cell r="O585" t="str">
            <v>A572 G50</v>
          </cell>
          <cell r="P585" t="str">
            <v>AE</v>
          </cell>
        </row>
        <row r="586">
          <cell r="A586">
            <v>585</v>
          </cell>
          <cell r="B586" t="str">
            <v>PERFIL WT A572 GR 50.</v>
          </cell>
          <cell r="C586" t="str">
            <v xml:space="preserve">WT 100x15.5 </v>
          </cell>
          <cell r="D586">
            <v>15.5</v>
          </cell>
          <cell r="E586">
            <v>15.5</v>
          </cell>
          <cell r="F586">
            <v>105</v>
          </cell>
          <cell r="G586">
            <v>134</v>
          </cell>
          <cell r="H586">
            <v>6.4</v>
          </cell>
          <cell r="I586">
            <v>10.199999999999999</v>
          </cell>
          <cell r="K586">
            <v>478</v>
          </cell>
          <cell r="L586">
            <v>2000</v>
          </cell>
          <cell r="O586" t="str">
            <v>A572 G50</v>
          </cell>
          <cell r="P586" t="str">
            <v>AE</v>
          </cell>
        </row>
        <row r="587">
          <cell r="A587">
            <v>586</v>
          </cell>
          <cell r="B587" t="str">
            <v>PERFIL WT A572 GR 50.</v>
          </cell>
          <cell r="C587" t="str">
            <v xml:space="preserve">WT 100x18 </v>
          </cell>
          <cell r="D587">
            <v>18</v>
          </cell>
          <cell r="E587">
            <v>18</v>
          </cell>
          <cell r="F587">
            <v>100</v>
          </cell>
          <cell r="G587">
            <v>165</v>
          </cell>
          <cell r="H587">
            <v>6.2</v>
          </cell>
          <cell r="I587">
            <v>10.199999999999999</v>
          </cell>
          <cell r="K587">
            <v>530.00000000000011</v>
          </cell>
          <cell r="L587">
            <v>2270</v>
          </cell>
          <cell r="O587" t="str">
            <v>A572 G50</v>
          </cell>
          <cell r="P587" t="str">
            <v>AE</v>
          </cell>
        </row>
        <row r="588">
          <cell r="A588">
            <v>587</v>
          </cell>
          <cell r="B588" t="str">
            <v>PERFIL WT A572 GR 50.</v>
          </cell>
          <cell r="C588" t="str">
            <v>WT 100x21</v>
          </cell>
          <cell r="D588">
            <v>21</v>
          </cell>
          <cell r="E588">
            <v>21</v>
          </cell>
          <cell r="F588">
            <v>102.5</v>
          </cell>
          <cell r="G588">
            <v>166</v>
          </cell>
          <cell r="H588">
            <v>7.2</v>
          </cell>
          <cell r="I588">
            <v>11.8</v>
          </cell>
          <cell r="K588">
            <v>537</v>
          </cell>
          <cell r="O588" t="str">
            <v>A572 G50</v>
          </cell>
          <cell r="P588" t="str">
            <v>AE</v>
          </cell>
        </row>
        <row r="589">
          <cell r="A589">
            <v>588</v>
          </cell>
          <cell r="B589" t="str">
            <v>PERFIL WT A572 GR 50.</v>
          </cell>
          <cell r="C589" t="str">
            <v>WT 100x23</v>
          </cell>
          <cell r="D589">
            <v>23</v>
          </cell>
          <cell r="E589">
            <v>23</v>
          </cell>
          <cell r="F589">
            <v>102</v>
          </cell>
          <cell r="G589">
            <v>203</v>
          </cell>
          <cell r="H589">
            <v>7.2</v>
          </cell>
          <cell r="I589">
            <v>11</v>
          </cell>
          <cell r="K589">
            <v>610</v>
          </cell>
          <cell r="O589" t="str">
            <v>A572 G50</v>
          </cell>
          <cell r="P589" t="str">
            <v>AE</v>
          </cell>
        </row>
        <row r="590">
          <cell r="A590">
            <v>589</v>
          </cell>
          <cell r="B590" t="str">
            <v>PERFIL WT A572 GR 50.</v>
          </cell>
          <cell r="C590" t="str">
            <v>WT 100x26</v>
          </cell>
          <cell r="D590">
            <v>26</v>
          </cell>
          <cell r="E590">
            <v>26</v>
          </cell>
          <cell r="F590">
            <v>103</v>
          </cell>
          <cell r="G590">
            <v>204</v>
          </cell>
          <cell r="H590">
            <v>7.9</v>
          </cell>
          <cell r="I590">
            <v>12.6</v>
          </cell>
          <cell r="K590">
            <v>614</v>
          </cell>
          <cell r="O590" t="str">
            <v>A572 G50</v>
          </cell>
          <cell r="P590" t="str">
            <v>AE</v>
          </cell>
        </row>
        <row r="591">
          <cell r="A591">
            <v>590</v>
          </cell>
          <cell r="B591" t="str">
            <v>PERFIL WT A572 GR 50.</v>
          </cell>
          <cell r="C591" t="str">
            <v>WT 125x12.5</v>
          </cell>
          <cell r="D591">
            <v>12.5</v>
          </cell>
          <cell r="E591">
            <v>12.5</v>
          </cell>
          <cell r="F591">
            <v>128.5</v>
          </cell>
          <cell r="G591">
            <v>102</v>
          </cell>
          <cell r="H591">
            <v>6.1</v>
          </cell>
          <cell r="I591">
            <v>8.4</v>
          </cell>
          <cell r="K591">
            <v>461.00000000000006</v>
          </cell>
          <cell r="O591" t="str">
            <v>A572 G50</v>
          </cell>
          <cell r="P591" t="str">
            <v>AE</v>
          </cell>
        </row>
        <row r="592">
          <cell r="A592">
            <v>591</v>
          </cell>
          <cell r="B592" t="str">
            <v>PERFIL WT A572 GR 50.</v>
          </cell>
          <cell r="C592" t="str">
            <v>WT 125x19.5</v>
          </cell>
          <cell r="D592">
            <v>19.5</v>
          </cell>
          <cell r="E592">
            <v>19.5</v>
          </cell>
          <cell r="F592">
            <v>131</v>
          </cell>
          <cell r="G592">
            <v>147</v>
          </cell>
          <cell r="H592">
            <v>6.6</v>
          </cell>
          <cell r="I592">
            <v>11.2</v>
          </cell>
          <cell r="K592">
            <v>556</v>
          </cell>
          <cell r="O592" t="str">
            <v>A572 G50</v>
          </cell>
          <cell r="P592" t="str">
            <v>AE</v>
          </cell>
        </row>
        <row r="593">
          <cell r="A593">
            <v>592</v>
          </cell>
          <cell r="B593" t="str">
            <v>PERFIL WT A572 GR 50.</v>
          </cell>
          <cell r="C593" t="str">
            <v>WT 125x24,5</v>
          </cell>
          <cell r="D593">
            <v>24.5</v>
          </cell>
          <cell r="E593">
            <v>24.5</v>
          </cell>
          <cell r="F593">
            <v>123.5</v>
          </cell>
          <cell r="G593">
            <v>202</v>
          </cell>
          <cell r="H593">
            <v>7.4</v>
          </cell>
          <cell r="I593">
            <v>11</v>
          </cell>
          <cell r="K593">
            <v>651</v>
          </cell>
          <cell r="O593" t="str">
            <v>A572 G50</v>
          </cell>
          <cell r="P593" t="str">
            <v>AE</v>
          </cell>
        </row>
        <row r="594">
          <cell r="A594">
            <v>593</v>
          </cell>
          <cell r="B594" t="str">
            <v>PERFIL WT A572 GR 50.</v>
          </cell>
          <cell r="C594" t="str">
            <v>WT 125x29</v>
          </cell>
          <cell r="D594">
            <v>29</v>
          </cell>
          <cell r="E594">
            <v>29</v>
          </cell>
          <cell r="F594">
            <v>126</v>
          </cell>
          <cell r="G594">
            <v>203</v>
          </cell>
          <cell r="H594">
            <v>8</v>
          </cell>
          <cell r="I594">
            <v>13.5</v>
          </cell>
          <cell r="K594">
            <v>658</v>
          </cell>
          <cell r="O594" t="str">
            <v>A572 G50</v>
          </cell>
          <cell r="P594" t="str">
            <v>AE</v>
          </cell>
        </row>
        <row r="595">
          <cell r="A595">
            <v>594</v>
          </cell>
          <cell r="B595" t="str">
            <v>PERFIL WT A572 GR 50.</v>
          </cell>
          <cell r="C595" t="str">
            <v>WT 125x33.5</v>
          </cell>
          <cell r="D595">
            <v>33.5</v>
          </cell>
          <cell r="E595">
            <v>33.5</v>
          </cell>
          <cell r="F595">
            <v>128</v>
          </cell>
          <cell r="G595">
            <v>204</v>
          </cell>
          <cell r="H595">
            <v>8.9</v>
          </cell>
          <cell r="I595">
            <v>15.7</v>
          </cell>
          <cell r="K595">
            <v>664</v>
          </cell>
          <cell r="O595" t="str">
            <v>A572 G50</v>
          </cell>
          <cell r="P595" t="str">
            <v>AE</v>
          </cell>
        </row>
        <row r="596">
          <cell r="A596">
            <v>595</v>
          </cell>
          <cell r="B596" t="str">
            <v>PERFIL WT A572 GR 50.</v>
          </cell>
          <cell r="C596" t="str">
            <v>WT 125x36,5</v>
          </cell>
          <cell r="D596">
            <v>36.5</v>
          </cell>
          <cell r="E596">
            <v>36.5</v>
          </cell>
          <cell r="F596">
            <v>126</v>
          </cell>
          <cell r="G596">
            <v>254</v>
          </cell>
          <cell r="H596">
            <v>8.6</v>
          </cell>
          <cell r="I596">
            <v>14.2</v>
          </cell>
          <cell r="K596">
            <v>760</v>
          </cell>
          <cell r="O596" t="str">
            <v>A572 G50</v>
          </cell>
          <cell r="P596" t="str">
            <v>AE</v>
          </cell>
        </row>
        <row r="597">
          <cell r="A597">
            <v>596</v>
          </cell>
          <cell r="B597" t="str">
            <v>PERFIL WT A572 GR 50.</v>
          </cell>
          <cell r="C597" t="str">
            <v>WT 125x40</v>
          </cell>
          <cell r="D597">
            <v>40</v>
          </cell>
          <cell r="E597">
            <v>40</v>
          </cell>
          <cell r="F597">
            <v>128</v>
          </cell>
          <cell r="G597">
            <v>255</v>
          </cell>
          <cell r="H597">
            <v>9.4</v>
          </cell>
          <cell r="I597">
            <v>15.6</v>
          </cell>
          <cell r="K597">
            <v>766</v>
          </cell>
          <cell r="O597" t="str">
            <v>A572 G50</v>
          </cell>
          <cell r="P597" t="str">
            <v>AE</v>
          </cell>
        </row>
        <row r="598">
          <cell r="A598">
            <v>597</v>
          </cell>
          <cell r="B598" t="str">
            <v>PERFIL WT A572 GR 50.</v>
          </cell>
          <cell r="C598" t="str">
            <v>WT 155x22.5</v>
          </cell>
          <cell r="D598">
            <v>22.5</v>
          </cell>
          <cell r="E598">
            <v>22.5</v>
          </cell>
          <cell r="F598">
            <v>156.5</v>
          </cell>
          <cell r="G598">
            <v>166</v>
          </cell>
          <cell r="H598">
            <v>6.6</v>
          </cell>
          <cell r="I598">
            <v>11.2</v>
          </cell>
          <cell r="K598">
            <v>645</v>
          </cell>
          <cell r="O598" t="str">
            <v>A572 G50</v>
          </cell>
          <cell r="P598" t="str">
            <v>AE</v>
          </cell>
        </row>
        <row r="599">
          <cell r="A599">
            <v>598</v>
          </cell>
          <cell r="B599" t="str">
            <v>PERFIL WT A572 GR 50.</v>
          </cell>
          <cell r="C599" t="str">
            <v>WT 155x26</v>
          </cell>
          <cell r="D599">
            <v>26</v>
          </cell>
          <cell r="E599">
            <v>26</v>
          </cell>
          <cell r="F599">
            <v>158</v>
          </cell>
          <cell r="G599">
            <v>167</v>
          </cell>
          <cell r="H599">
            <v>7.6</v>
          </cell>
          <cell r="I599">
            <v>13.2</v>
          </cell>
          <cell r="K599">
            <v>650</v>
          </cell>
          <cell r="O599" t="str">
            <v>A572 G50</v>
          </cell>
          <cell r="P599" t="str">
            <v>AE</v>
          </cell>
        </row>
        <row r="600">
          <cell r="A600">
            <v>599</v>
          </cell>
          <cell r="B600" t="str">
            <v>PERFIL WT A572 GR 50.</v>
          </cell>
          <cell r="C600" t="str">
            <v>WT 155x39.5</v>
          </cell>
          <cell r="D600">
            <v>39.5</v>
          </cell>
          <cell r="E600">
            <v>39.5</v>
          </cell>
          <cell r="F600">
            <v>153</v>
          </cell>
          <cell r="G600">
            <v>254</v>
          </cell>
          <cell r="H600">
            <v>8.8000000000000007</v>
          </cell>
          <cell r="I600">
            <v>14.6</v>
          </cell>
          <cell r="K600">
            <v>814</v>
          </cell>
          <cell r="O600" t="str">
            <v>A572 G50</v>
          </cell>
          <cell r="P600" t="str">
            <v>AE</v>
          </cell>
        </row>
        <row r="601">
          <cell r="A601">
            <v>600</v>
          </cell>
          <cell r="B601" t="str">
            <v>PERFIL WT A572 GR 50.</v>
          </cell>
          <cell r="C601" t="str">
            <v>WT 155x43</v>
          </cell>
          <cell r="D601">
            <v>43</v>
          </cell>
          <cell r="E601">
            <v>43</v>
          </cell>
          <cell r="F601">
            <v>155</v>
          </cell>
          <cell r="G601">
            <v>254</v>
          </cell>
          <cell r="H601">
            <v>9.1</v>
          </cell>
          <cell r="I601">
            <v>16.3</v>
          </cell>
          <cell r="K601">
            <v>818</v>
          </cell>
          <cell r="O601" t="str">
            <v>A572 G50</v>
          </cell>
          <cell r="P601" t="str">
            <v>AE</v>
          </cell>
        </row>
        <row r="602">
          <cell r="A602">
            <v>601</v>
          </cell>
          <cell r="B602" t="str">
            <v>PERFIL WT A572 GR 50.</v>
          </cell>
          <cell r="C602" t="str">
            <v xml:space="preserve">WT 155x26 </v>
          </cell>
          <cell r="D602">
            <v>26</v>
          </cell>
          <cell r="E602">
            <v>26</v>
          </cell>
          <cell r="F602">
            <v>158</v>
          </cell>
          <cell r="G602">
            <v>167</v>
          </cell>
          <cell r="H602">
            <v>7.6</v>
          </cell>
          <cell r="I602">
            <v>13.2</v>
          </cell>
          <cell r="K602">
            <v>650</v>
          </cell>
          <cell r="O602" t="str">
            <v>A572 G50</v>
          </cell>
          <cell r="P602" t="str">
            <v>AE</v>
          </cell>
        </row>
        <row r="603">
          <cell r="A603">
            <v>602</v>
          </cell>
          <cell r="B603" t="str">
            <v>PERFIL WT A572 GR 50.</v>
          </cell>
          <cell r="C603" t="str">
            <v>WT 180x25.5</v>
          </cell>
          <cell r="D603">
            <v>25.5</v>
          </cell>
          <cell r="E603">
            <v>25.5</v>
          </cell>
          <cell r="F603">
            <v>178</v>
          </cell>
          <cell r="G603">
            <v>171</v>
          </cell>
          <cell r="H603">
            <v>7.2</v>
          </cell>
          <cell r="I603">
            <v>11.6</v>
          </cell>
          <cell r="K603">
            <v>698.00000000000011</v>
          </cell>
          <cell r="O603" t="str">
            <v>A572 G50</v>
          </cell>
          <cell r="P603" t="str">
            <v>AE</v>
          </cell>
        </row>
        <row r="604">
          <cell r="A604">
            <v>603</v>
          </cell>
          <cell r="B604" t="str">
            <v>PERFIL WT A572 GR 50.</v>
          </cell>
          <cell r="C604" t="str">
            <v>WT 180x39.5</v>
          </cell>
          <cell r="D604">
            <v>39.5</v>
          </cell>
          <cell r="E604">
            <v>39.5</v>
          </cell>
          <cell r="F604">
            <v>177</v>
          </cell>
          <cell r="G604">
            <v>205</v>
          </cell>
          <cell r="H604">
            <v>9.4</v>
          </cell>
          <cell r="I604">
            <v>16.8</v>
          </cell>
          <cell r="K604">
            <v>764</v>
          </cell>
          <cell r="O604" t="str">
            <v>A572 G50</v>
          </cell>
          <cell r="P604" t="str">
            <v>AE</v>
          </cell>
        </row>
        <row r="605">
          <cell r="A605">
            <v>604</v>
          </cell>
          <cell r="B605" t="str">
            <v>PERFIL WT A572 GR 50.</v>
          </cell>
          <cell r="C605" t="str">
            <v>WT 180x45.5</v>
          </cell>
          <cell r="D605">
            <v>45.5</v>
          </cell>
          <cell r="E605">
            <v>45.5</v>
          </cell>
          <cell r="F605">
            <v>176</v>
          </cell>
          <cell r="G605">
            <v>254</v>
          </cell>
          <cell r="H605">
            <v>9.5</v>
          </cell>
          <cell r="I605">
            <v>16.399999999999999</v>
          </cell>
          <cell r="K605">
            <v>860</v>
          </cell>
          <cell r="O605" t="str">
            <v>A572 G50</v>
          </cell>
          <cell r="P605" t="str">
            <v>AE</v>
          </cell>
        </row>
        <row r="606">
          <cell r="A606">
            <v>605</v>
          </cell>
          <cell r="B606" t="str">
            <v>PERFIL WT A572 GR 50.</v>
          </cell>
          <cell r="C606" t="str">
            <v>WT 205x33.5</v>
          </cell>
          <cell r="D606">
            <v>33.5</v>
          </cell>
          <cell r="E606">
            <v>33.5</v>
          </cell>
          <cell r="F606">
            <v>205</v>
          </cell>
          <cell r="G606">
            <v>179</v>
          </cell>
          <cell r="H606">
            <v>8.8000000000000007</v>
          </cell>
          <cell r="I606">
            <v>14.4</v>
          </cell>
          <cell r="K606">
            <v>768</v>
          </cell>
          <cell r="O606" t="str">
            <v>A572 G50</v>
          </cell>
          <cell r="P606" t="str">
            <v>AE</v>
          </cell>
        </row>
        <row r="607">
          <cell r="A607">
            <v>606</v>
          </cell>
          <cell r="B607" t="str">
            <v>PERFIL WT A572 GR 50.</v>
          </cell>
          <cell r="C607" t="str">
            <v>WT 205x50</v>
          </cell>
          <cell r="D607">
            <v>50</v>
          </cell>
          <cell r="E607">
            <v>50</v>
          </cell>
          <cell r="F607">
            <v>208</v>
          </cell>
          <cell r="G607">
            <v>260</v>
          </cell>
          <cell r="H607">
            <v>10</v>
          </cell>
          <cell r="I607">
            <v>16.899999999999999</v>
          </cell>
          <cell r="K607">
            <v>936</v>
          </cell>
          <cell r="O607" t="str">
            <v>A572 G50</v>
          </cell>
          <cell r="P607" t="str">
            <v>AE</v>
          </cell>
        </row>
        <row r="608">
          <cell r="A608">
            <v>607</v>
          </cell>
          <cell r="B608" t="str">
            <v>PERFIL WT A572 GR 50.</v>
          </cell>
          <cell r="C608" t="str">
            <v>WT 205x57</v>
          </cell>
          <cell r="D608">
            <v>57</v>
          </cell>
          <cell r="E608">
            <v>57</v>
          </cell>
          <cell r="F608">
            <v>210</v>
          </cell>
          <cell r="G608">
            <v>261</v>
          </cell>
          <cell r="H608">
            <v>11.6</v>
          </cell>
          <cell r="I608">
            <v>19.3</v>
          </cell>
          <cell r="K608">
            <v>942</v>
          </cell>
          <cell r="O608" t="str">
            <v>A572 G50</v>
          </cell>
          <cell r="P608" t="str">
            <v>AE</v>
          </cell>
        </row>
        <row r="609">
          <cell r="A609">
            <v>608</v>
          </cell>
          <cell r="B609" t="str">
            <v>PERFIL WT A572 GR 50.</v>
          </cell>
          <cell r="C609" t="str">
            <v>WT 230x37</v>
          </cell>
          <cell r="D609">
            <v>37</v>
          </cell>
          <cell r="E609">
            <v>37</v>
          </cell>
          <cell r="F609">
            <v>228</v>
          </cell>
          <cell r="G609">
            <v>190</v>
          </cell>
          <cell r="H609">
            <v>9</v>
          </cell>
          <cell r="I609">
            <v>14.5</v>
          </cell>
          <cell r="K609">
            <v>836</v>
          </cell>
          <cell r="O609" t="str">
            <v>A572 G50</v>
          </cell>
          <cell r="P609" t="str">
            <v>AE</v>
          </cell>
        </row>
        <row r="610">
          <cell r="A610">
            <v>609</v>
          </cell>
          <cell r="B610" t="str">
            <v>"W" ESTRUCTURAL</v>
          </cell>
          <cell r="C610" t="str">
            <v>W 6x12</v>
          </cell>
          <cell r="D610">
            <v>17.89</v>
          </cell>
          <cell r="E610">
            <v>17.89</v>
          </cell>
          <cell r="F610">
            <v>101.6</v>
          </cell>
          <cell r="G610">
            <v>153.16200000000001</v>
          </cell>
          <cell r="H610">
            <v>5.8419999999999996</v>
          </cell>
          <cell r="I610">
            <v>7.1120000000000001</v>
          </cell>
          <cell r="K610">
            <v>701.04</v>
          </cell>
          <cell r="L610">
            <v>2290</v>
          </cell>
          <cell r="O610" t="str">
            <v>A572 G50</v>
          </cell>
          <cell r="P610" t="str">
            <v>S</v>
          </cell>
        </row>
        <row r="611">
          <cell r="A611">
            <v>610</v>
          </cell>
          <cell r="B611" t="str">
            <v>"W" ESTRUCTURAL</v>
          </cell>
          <cell r="C611" t="str">
            <v>W 6x15</v>
          </cell>
          <cell r="D611">
            <v>22.36</v>
          </cell>
          <cell r="E611">
            <v>22.36</v>
          </cell>
          <cell r="F611">
            <v>152.14599999999999</v>
          </cell>
          <cell r="G611">
            <v>152.14599999999999</v>
          </cell>
          <cell r="H611">
            <v>5.8419999999999996</v>
          </cell>
          <cell r="I611">
            <v>6.6040000000000001</v>
          </cell>
          <cell r="K611">
            <v>901.19199999999989</v>
          </cell>
          <cell r="L611">
            <v>2850</v>
          </cell>
          <cell r="O611" t="str">
            <v>A572 G50</v>
          </cell>
          <cell r="P611" t="str">
            <v>S</v>
          </cell>
        </row>
        <row r="612">
          <cell r="A612">
            <v>611</v>
          </cell>
          <cell r="B612" t="str">
            <v>"W" ESTRUCTURAL</v>
          </cell>
          <cell r="C612" t="str">
            <v>W 6x20</v>
          </cell>
          <cell r="D612">
            <v>29.82</v>
          </cell>
          <cell r="E612">
            <v>29.82</v>
          </cell>
          <cell r="F612">
            <v>152.90799999999999</v>
          </cell>
          <cell r="G612">
            <v>157.47999999999999</v>
          </cell>
          <cell r="H612">
            <v>6.6040000000000001</v>
          </cell>
          <cell r="I612">
            <v>9.270999999999999</v>
          </cell>
          <cell r="K612">
            <v>913.3839999999999</v>
          </cell>
          <cell r="L612">
            <v>3790</v>
          </cell>
          <cell r="O612" t="str">
            <v>A572 G50</v>
          </cell>
          <cell r="P612" t="str">
            <v>S</v>
          </cell>
        </row>
        <row r="613">
          <cell r="A613">
            <v>612</v>
          </cell>
          <cell r="B613" t="str">
            <v>"W" ESTRUCTURAL</v>
          </cell>
          <cell r="C613" t="str">
            <v>W 8x24</v>
          </cell>
          <cell r="D613">
            <v>35.78</v>
          </cell>
          <cell r="E613">
            <v>35.78</v>
          </cell>
          <cell r="F613">
            <v>165</v>
          </cell>
          <cell r="G613">
            <v>201</v>
          </cell>
          <cell r="H613">
            <v>6</v>
          </cell>
          <cell r="I613">
            <v>10</v>
          </cell>
          <cell r="K613">
            <v>1050</v>
          </cell>
          <cell r="L613">
            <v>4540</v>
          </cell>
          <cell r="O613" t="str">
            <v>A572 G50</v>
          </cell>
          <cell r="P613" t="str">
            <v>S</v>
          </cell>
        </row>
        <row r="614">
          <cell r="A614">
            <v>613</v>
          </cell>
          <cell r="B614" t="str">
            <v>"W" ESTRUCTURAL</v>
          </cell>
          <cell r="C614" t="str">
            <v>W 8x35</v>
          </cell>
          <cell r="D614">
            <v>52.18</v>
          </cell>
          <cell r="E614">
            <v>52.18</v>
          </cell>
          <cell r="F614">
            <v>203.70799999999997</v>
          </cell>
          <cell r="G614">
            <v>206.24799999999996</v>
          </cell>
          <cell r="H614">
            <v>7.8739999999999997</v>
          </cell>
          <cell r="I614">
            <v>12.572999999999999</v>
          </cell>
          <cell r="K614">
            <v>1211.5799999999997</v>
          </cell>
          <cell r="L614">
            <v>6620</v>
          </cell>
          <cell r="O614" t="str">
            <v>A572 G50</v>
          </cell>
          <cell r="P614" t="str">
            <v>S</v>
          </cell>
        </row>
        <row r="615">
          <cell r="A615">
            <v>614</v>
          </cell>
          <cell r="B615" t="str">
            <v>"W" ESTRUCTURAL</v>
          </cell>
          <cell r="C615" t="str">
            <v>W 10x30</v>
          </cell>
          <cell r="D615">
            <v>44.73</v>
          </cell>
          <cell r="E615">
            <v>44.73</v>
          </cell>
          <cell r="F615">
            <v>147.57399999999998</v>
          </cell>
          <cell r="G615">
            <v>265.93799999999999</v>
          </cell>
          <cell r="H615">
            <v>7.6199999999999992</v>
          </cell>
          <cell r="I615">
            <v>12.953999999999999</v>
          </cell>
          <cell r="K615">
            <v>1106.932</v>
          </cell>
          <cell r="L615">
            <v>5720</v>
          </cell>
          <cell r="O615" t="str">
            <v>A572 G50</v>
          </cell>
          <cell r="P615" t="str">
            <v>S</v>
          </cell>
        </row>
        <row r="616">
          <cell r="A616">
            <v>615</v>
          </cell>
          <cell r="B616" t="str">
            <v>"W" ESTRUCTURAL</v>
          </cell>
          <cell r="C616" t="str">
            <v>W 10x33</v>
          </cell>
          <cell r="D616">
            <v>49.2</v>
          </cell>
          <cell r="E616">
            <v>49.2</v>
          </cell>
          <cell r="F616">
            <v>202.184</v>
          </cell>
          <cell r="G616">
            <v>247.142</v>
          </cell>
          <cell r="H616">
            <v>7.3659999999999988</v>
          </cell>
          <cell r="I616">
            <v>11.048999999999999</v>
          </cell>
          <cell r="K616">
            <v>1288.2879999999998</v>
          </cell>
          <cell r="L616">
            <v>6250</v>
          </cell>
          <cell r="O616" t="str">
            <v>A572 G50</v>
          </cell>
          <cell r="P616" t="str">
            <v>S</v>
          </cell>
        </row>
        <row r="617">
          <cell r="A617">
            <v>616</v>
          </cell>
          <cell r="B617" t="str">
            <v>PERFIL W A572 GR 50.</v>
          </cell>
          <cell r="C617" t="str">
            <v>W 150x22.5</v>
          </cell>
          <cell r="D617">
            <v>22.5</v>
          </cell>
          <cell r="E617">
            <v>22.5</v>
          </cell>
          <cell r="F617">
            <v>152</v>
          </cell>
          <cell r="G617">
            <v>152</v>
          </cell>
          <cell r="H617">
            <v>5.8</v>
          </cell>
          <cell r="I617">
            <v>6.6</v>
          </cell>
          <cell r="K617">
            <v>900.4</v>
          </cell>
          <cell r="O617" t="str">
            <v>A572 G50</v>
          </cell>
          <cell r="P617" t="str">
            <v>AE</v>
          </cell>
        </row>
        <row r="618">
          <cell r="A618">
            <v>617</v>
          </cell>
          <cell r="B618" t="str">
            <v>PERFIL W A572 GR 50.</v>
          </cell>
          <cell r="C618" t="str">
            <v>W 200x27</v>
          </cell>
          <cell r="D618">
            <v>27</v>
          </cell>
          <cell r="E618">
            <v>27</v>
          </cell>
          <cell r="F618">
            <v>207</v>
          </cell>
          <cell r="G618">
            <v>133</v>
          </cell>
          <cell r="H618">
            <v>5.8</v>
          </cell>
          <cell r="I618">
            <v>8.4</v>
          </cell>
          <cell r="K618">
            <v>1082.3999999999999</v>
          </cell>
          <cell r="O618" t="str">
            <v>A572 G50</v>
          </cell>
          <cell r="P618" t="str">
            <v>AE</v>
          </cell>
        </row>
        <row r="619">
          <cell r="A619">
            <v>618</v>
          </cell>
          <cell r="B619" t="str">
            <v>PERFIL W A572 GR 50.</v>
          </cell>
          <cell r="C619" t="str">
            <v>W 200x22</v>
          </cell>
          <cell r="D619">
            <v>22</v>
          </cell>
          <cell r="E619">
            <v>22</v>
          </cell>
          <cell r="F619">
            <v>206</v>
          </cell>
          <cell r="G619">
            <v>102</v>
          </cell>
          <cell r="H619">
            <v>6.2</v>
          </cell>
          <cell r="I619">
            <v>8</v>
          </cell>
          <cell r="K619">
            <v>1015.6</v>
          </cell>
          <cell r="O619" t="str">
            <v>A572 G50</v>
          </cell>
          <cell r="P619" t="str">
            <v>AE</v>
          </cell>
        </row>
        <row r="620">
          <cell r="A620">
            <v>619</v>
          </cell>
          <cell r="B620" t="str">
            <v>PERFIL W A572 GR 50.</v>
          </cell>
          <cell r="C620" t="str">
            <v>W 200x52</v>
          </cell>
          <cell r="D620">
            <v>52</v>
          </cell>
          <cell r="E620">
            <v>52</v>
          </cell>
          <cell r="F620">
            <v>206</v>
          </cell>
          <cell r="G620">
            <v>204</v>
          </cell>
          <cell r="H620">
            <v>7.9</v>
          </cell>
          <cell r="I620">
            <v>12.6</v>
          </cell>
          <cell r="K620">
            <v>1216.2</v>
          </cell>
          <cell r="O620" t="str">
            <v>A572 G50</v>
          </cell>
          <cell r="P620" t="str">
            <v>AE</v>
          </cell>
        </row>
        <row r="621">
          <cell r="A621">
            <v>620</v>
          </cell>
          <cell r="B621" t="str">
            <v>PERFIL W A572 GR 50.</v>
          </cell>
          <cell r="C621" t="str">
            <v>W 200x36</v>
          </cell>
          <cell r="D621">
            <v>36</v>
          </cell>
          <cell r="E621">
            <v>36</v>
          </cell>
          <cell r="F621">
            <v>201</v>
          </cell>
          <cell r="G621">
            <v>165</v>
          </cell>
          <cell r="H621">
            <v>6.2</v>
          </cell>
          <cell r="I621">
            <v>10.199999999999999</v>
          </cell>
          <cell r="K621">
            <v>1121.6000000000001</v>
          </cell>
          <cell r="O621" t="str">
            <v>A572 G50</v>
          </cell>
          <cell r="P621" t="str">
            <v>AE</v>
          </cell>
        </row>
        <row r="622">
          <cell r="A622">
            <v>621</v>
          </cell>
          <cell r="B622" t="str">
            <v>PERFIL W A572 GR 50.</v>
          </cell>
          <cell r="C622" t="str">
            <v>W 250x49</v>
          </cell>
          <cell r="D622">
            <v>49</v>
          </cell>
          <cell r="E622">
            <v>49</v>
          </cell>
          <cell r="F622">
            <v>247</v>
          </cell>
          <cell r="G622">
            <v>202</v>
          </cell>
          <cell r="H622">
            <v>7.4</v>
          </cell>
          <cell r="I622">
            <v>11</v>
          </cell>
          <cell r="K622">
            <v>1377.2</v>
          </cell>
          <cell r="O622" t="str">
            <v>A572 G50</v>
          </cell>
          <cell r="P622" t="str">
            <v>AE</v>
          </cell>
        </row>
        <row r="623">
          <cell r="A623">
            <v>622</v>
          </cell>
          <cell r="B623" t="str">
            <v>PERFIL W A572 GR 50.</v>
          </cell>
          <cell r="C623" t="str">
            <v>W 250x67</v>
          </cell>
          <cell r="D623">
            <v>67</v>
          </cell>
          <cell r="E623">
            <v>67</v>
          </cell>
          <cell r="F623">
            <v>257</v>
          </cell>
          <cell r="G623">
            <v>204</v>
          </cell>
          <cell r="H623">
            <v>8.9</v>
          </cell>
          <cell r="I623">
            <v>15.7</v>
          </cell>
          <cell r="K623">
            <v>1418.2</v>
          </cell>
          <cell r="O623" t="str">
            <v>A572 G50</v>
          </cell>
          <cell r="P623" t="str">
            <v>AE</v>
          </cell>
        </row>
        <row r="624">
          <cell r="A624">
            <v>623</v>
          </cell>
          <cell r="B624" t="str">
            <v>PERFIL W A572 GR 50.</v>
          </cell>
          <cell r="C624" t="str">
            <v>W 250x73</v>
          </cell>
          <cell r="D624">
            <v>73</v>
          </cell>
          <cell r="E624">
            <v>73</v>
          </cell>
          <cell r="F624">
            <v>253</v>
          </cell>
          <cell r="G624">
            <v>254</v>
          </cell>
          <cell r="H624">
            <v>8.6</v>
          </cell>
          <cell r="I624">
            <v>14.2</v>
          </cell>
          <cell r="K624">
            <v>1502.8</v>
          </cell>
          <cell r="O624" t="str">
            <v>A572 G50</v>
          </cell>
          <cell r="P624" t="str">
            <v>AE</v>
          </cell>
        </row>
        <row r="625">
          <cell r="A625">
            <v>624</v>
          </cell>
          <cell r="B625" t="str">
            <v>PERFIL W A572 GR 50.</v>
          </cell>
          <cell r="C625" t="str">
            <v>W 310x38.7</v>
          </cell>
          <cell r="D625">
            <v>38.74</v>
          </cell>
          <cell r="E625">
            <v>38.74</v>
          </cell>
          <cell r="F625" t="str">
            <v>310</v>
          </cell>
          <cell r="G625">
            <v>165</v>
          </cell>
          <cell r="H625">
            <v>5.8</v>
          </cell>
          <cell r="I625">
            <v>9.6999999999999993</v>
          </cell>
          <cell r="K625">
            <v>1558.3999999999999</v>
          </cell>
          <cell r="O625" t="str">
            <v>A572 G50</v>
          </cell>
          <cell r="P625" t="str">
            <v>AE</v>
          </cell>
        </row>
        <row r="626">
          <cell r="A626">
            <v>625</v>
          </cell>
          <cell r="B626" t="str">
            <v>PERFIL W A572 GR 50.</v>
          </cell>
          <cell r="C626" t="str">
            <v>W 360x101</v>
          </cell>
          <cell r="D626">
            <v>101.32</v>
          </cell>
          <cell r="E626">
            <v>101.32</v>
          </cell>
          <cell r="F626">
            <v>357</v>
          </cell>
          <cell r="G626">
            <v>255</v>
          </cell>
          <cell r="H626">
            <v>10.5</v>
          </cell>
          <cell r="I626">
            <v>18.3</v>
          </cell>
          <cell r="K626">
            <v>1917</v>
          </cell>
          <cell r="O626" t="str">
            <v>A572 G50</v>
          </cell>
          <cell r="P626" t="str">
            <v>AE</v>
          </cell>
        </row>
        <row r="627">
          <cell r="A627">
            <v>626</v>
          </cell>
          <cell r="B627" t="str">
            <v>PERFIL W A572 GR 50.</v>
          </cell>
          <cell r="C627" t="str">
            <v>W 360x110</v>
          </cell>
          <cell r="D627">
            <v>110</v>
          </cell>
          <cell r="E627">
            <v>110</v>
          </cell>
          <cell r="F627" t="str">
            <v>360</v>
          </cell>
          <cell r="G627">
            <v>256</v>
          </cell>
          <cell r="H627">
            <v>11.04</v>
          </cell>
          <cell r="I627">
            <v>19.899999999999999</v>
          </cell>
          <cell r="K627">
            <v>1929.92</v>
          </cell>
          <cell r="O627" t="str">
            <v>A572 G50</v>
          </cell>
          <cell r="P627" t="str">
            <v>AE</v>
          </cell>
        </row>
        <row r="628">
          <cell r="A628">
            <v>627</v>
          </cell>
          <cell r="B628" t="str">
            <v>PERFIL W A572 GR 50.</v>
          </cell>
          <cell r="C628" t="str">
            <v>W 360x134</v>
          </cell>
          <cell r="D628">
            <v>134.1</v>
          </cell>
          <cell r="E628">
            <v>134.1</v>
          </cell>
          <cell r="F628">
            <v>356</v>
          </cell>
          <cell r="G628">
            <v>369</v>
          </cell>
          <cell r="H628">
            <v>11.2</v>
          </cell>
          <cell r="I628">
            <v>18</v>
          </cell>
          <cell r="K628">
            <v>2139.6</v>
          </cell>
          <cell r="O628" t="str">
            <v>A572 G50</v>
          </cell>
          <cell r="P628" t="str">
            <v>AE</v>
          </cell>
        </row>
        <row r="629">
          <cell r="A629">
            <v>628</v>
          </cell>
          <cell r="B629" t="str">
            <v>PERFIL W A572 GR 50.</v>
          </cell>
          <cell r="C629" t="str">
            <v>W 360x39</v>
          </cell>
          <cell r="D629">
            <v>39</v>
          </cell>
          <cell r="E629">
            <v>39</v>
          </cell>
          <cell r="F629">
            <v>353</v>
          </cell>
          <cell r="G629">
            <v>128</v>
          </cell>
          <cell r="H629">
            <v>6.5</v>
          </cell>
          <cell r="I629">
            <v>10.7</v>
          </cell>
          <cell r="K629">
            <v>1655</v>
          </cell>
          <cell r="O629" t="str">
            <v>A572 G50</v>
          </cell>
          <cell r="P629" t="str">
            <v>AE</v>
          </cell>
        </row>
        <row r="630">
          <cell r="A630">
            <v>629</v>
          </cell>
          <cell r="B630" t="str">
            <v>PERFIL W A572 GR 50.</v>
          </cell>
          <cell r="C630" t="str">
            <v>W 360x72</v>
          </cell>
          <cell r="D630">
            <v>72</v>
          </cell>
          <cell r="E630">
            <v>72</v>
          </cell>
          <cell r="F630">
            <v>350</v>
          </cell>
          <cell r="G630">
            <v>204</v>
          </cell>
          <cell r="H630">
            <v>8.6</v>
          </cell>
          <cell r="I630">
            <v>15.1</v>
          </cell>
          <cell r="K630">
            <v>1790.8</v>
          </cell>
          <cell r="O630" t="str">
            <v>A572 G50</v>
          </cell>
          <cell r="P630" t="str">
            <v>AE</v>
          </cell>
        </row>
        <row r="631">
          <cell r="A631">
            <v>630</v>
          </cell>
          <cell r="B631" t="str">
            <v>PERFIL W A572 GR 50.</v>
          </cell>
          <cell r="C631" t="str">
            <v>W 360x79</v>
          </cell>
          <cell r="D631">
            <v>79</v>
          </cell>
          <cell r="E631">
            <v>79</v>
          </cell>
          <cell r="F631">
            <v>354</v>
          </cell>
          <cell r="G631">
            <v>205</v>
          </cell>
          <cell r="H631">
            <v>9.4</v>
          </cell>
          <cell r="I631">
            <v>16.8</v>
          </cell>
          <cell r="K631">
            <v>1807.2</v>
          </cell>
          <cell r="O631" t="str">
            <v>A572 G50</v>
          </cell>
          <cell r="P631" t="str">
            <v>AE</v>
          </cell>
        </row>
        <row r="632">
          <cell r="A632">
            <v>631</v>
          </cell>
          <cell r="B632" t="str">
            <v>PERFIL W A572 GR 50.</v>
          </cell>
          <cell r="C632" t="str">
            <v>W 360x91</v>
          </cell>
          <cell r="D632">
            <v>91</v>
          </cell>
          <cell r="E632">
            <v>91</v>
          </cell>
          <cell r="F632">
            <v>353</v>
          </cell>
          <cell r="G632">
            <v>254</v>
          </cell>
          <cell r="H632">
            <v>9.5</v>
          </cell>
          <cell r="I632">
            <v>16.399999999999999</v>
          </cell>
          <cell r="K632">
            <v>1901</v>
          </cell>
          <cell r="O632" t="str">
            <v>A572 G50</v>
          </cell>
          <cell r="P632" t="str">
            <v>AE</v>
          </cell>
        </row>
        <row r="633">
          <cell r="A633">
            <v>632</v>
          </cell>
          <cell r="B633" t="str">
            <v>PERFIL W A572 GR 50.</v>
          </cell>
          <cell r="C633" t="str">
            <v>W 410x39</v>
          </cell>
          <cell r="D633">
            <v>39</v>
          </cell>
          <cell r="E633">
            <v>39</v>
          </cell>
          <cell r="F633">
            <v>399</v>
          </cell>
          <cell r="G633">
            <v>140</v>
          </cell>
          <cell r="H633">
            <v>6.4</v>
          </cell>
          <cell r="I633">
            <v>8.8000000000000007</v>
          </cell>
          <cell r="K633">
            <v>1863.2</v>
          </cell>
          <cell r="O633" t="str">
            <v>A572 G50</v>
          </cell>
          <cell r="P633" t="str">
            <v>AE</v>
          </cell>
        </row>
        <row r="634">
          <cell r="A634">
            <v>633</v>
          </cell>
          <cell r="B634" t="str">
            <v>PERFIL W A572 GR 50.</v>
          </cell>
          <cell r="C634" t="str">
            <v>W 410x46</v>
          </cell>
          <cell r="D634">
            <v>46.19</v>
          </cell>
          <cell r="E634">
            <v>46.19</v>
          </cell>
          <cell r="F634">
            <v>403</v>
          </cell>
          <cell r="G634">
            <v>140</v>
          </cell>
          <cell r="H634">
            <v>7</v>
          </cell>
          <cell r="I634">
            <v>11.2</v>
          </cell>
          <cell r="K634">
            <v>1878</v>
          </cell>
          <cell r="O634" t="str">
            <v>A572 G50</v>
          </cell>
          <cell r="P634" t="str">
            <v>AE</v>
          </cell>
        </row>
        <row r="635">
          <cell r="A635">
            <v>634</v>
          </cell>
          <cell r="B635" t="str">
            <v>PERFIL W A572 GR 50.</v>
          </cell>
          <cell r="C635" t="str">
            <v>W 410x54</v>
          </cell>
          <cell r="D635">
            <v>54</v>
          </cell>
          <cell r="E635">
            <v>54</v>
          </cell>
          <cell r="F635">
            <v>403</v>
          </cell>
          <cell r="G635">
            <v>177</v>
          </cell>
          <cell r="H635">
            <v>7.5</v>
          </cell>
          <cell r="I635">
            <v>10.9</v>
          </cell>
          <cell r="K635">
            <v>1951</v>
          </cell>
          <cell r="O635" t="str">
            <v>A572 G50</v>
          </cell>
          <cell r="P635" t="str">
            <v>AE</v>
          </cell>
        </row>
        <row r="636">
          <cell r="A636">
            <v>635</v>
          </cell>
          <cell r="B636" t="str">
            <v>PERFIL W A572 GR 50.</v>
          </cell>
          <cell r="C636" t="str">
            <v>W 410x60</v>
          </cell>
          <cell r="D636">
            <v>60</v>
          </cell>
          <cell r="E636">
            <v>60</v>
          </cell>
          <cell r="F636">
            <v>407</v>
          </cell>
          <cell r="G636">
            <v>178</v>
          </cell>
          <cell r="H636">
            <v>7.7</v>
          </cell>
          <cell r="I636">
            <v>12.8</v>
          </cell>
          <cell r="K636">
            <v>1968.6000000000001</v>
          </cell>
          <cell r="O636" t="str">
            <v>A572 G50</v>
          </cell>
          <cell r="P636" t="str">
            <v>AE</v>
          </cell>
        </row>
        <row r="637">
          <cell r="A637">
            <v>636</v>
          </cell>
          <cell r="B637" t="str">
            <v>PERFIL W A572 GR 50.</v>
          </cell>
          <cell r="C637" t="str">
            <v>W 460x74</v>
          </cell>
          <cell r="D637">
            <v>74.5</v>
          </cell>
          <cell r="E637">
            <v>74.5</v>
          </cell>
          <cell r="F637">
            <v>457</v>
          </cell>
          <cell r="G637">
            <v>190</v>
          </cell>
          <cell r="H637">
            <v>9</v>
          </cell>
          <cell r="I637">
            <v>14.5</v>
          </cell>
          <cell r="K637">
            <v>2190</v>
          </cell>
          <cell r="O637" t="str">
            <v>A572 G50</v>
          </cell>
          <cell r="P637" t="str">
            <v>AE</v>
          </cell>
        </row>
        <row r="638">
          <cell r="A638">
            <v>637</v>
          </cell>
          <cell r="B638" t="str">
            <v>PLATINAS (Laminado)</v>
          </cell>
          <cell r="C638" t="str">
            <v>Plt=12x3</v>
          </cell>
          <cell r="D638">
            <v>0.28000000000000003</v>
          </cell>
          <cell r="E638">
            <v>0.28000000000000003</v>
          </cell>
          <cell r="F638">
            <v>3</v>
          </cell>
          <cell r="G638">
            <v>12</v>
          </cell>
          <cell r="K638">
            <v>30</v>
          </cell>
          <cell r="L638">
            <v>36</v>
          </cell>
          <cell r="M638" t="str">
            <v>12.57.10.010.00</v>
          </cell>
          <cell r="O638" t="str">
            <v>A36</v>
          </cell>
          <cell r="P638" t="str">
            <v>N</v>
          </cell>
        </row>
        <row r="639">
          <cell r="A639">
            <v>638</v>
          </cell>
          <cell r="B639" t="str">
            <v>PLATINAS (Laminado)</v>
          </cell>
          <cell r="C639" t="str">
            <v>Plt=12x4</v>
          </cell>
          <cell r="D639">
            <v>0.38</v>
          </cell>
          <cell r="E639">
            <v>0.38</v>
          </cell>
          <cell r="F639">
            <v>4</v>
          </cell>
          <cell r="G639">
            <v>12</v>
          </cell>
          <cell r="K639">
            <v>32</v>
          </cell>
          <cell r="L639">
            <v>48</v>
          </cell>
          <cell r="M639" t="str">
            <v>12.57.10.020.0</v>
          </cell>
          <cell r="O639" t="str">
            <v>A36</v>
          </cell>
          <cell r="P639" t="str">
            <v>N</v>
          </cell>
        </row>
        <row r="640">
          <cell r="A640">
            <v>639</v>
          </cell>
          <cell r="B640" t="str">
            <v>PLATINAS (Laminado)</v>
          </cell>
          <cell r="C640" t="str">
            <v>Plt=12x6</v>
          </cell>
          <cell r="D640">
            <v>0.56999999999999995</v>
          </cell>
          <cell r="E640">
            <v>0.56999999999999995</v>
          </cell>
          <cell r="F640">
            <v>6</v>
          </cell>
          <cell r="G640">
            <v>12</v>
          </cell>
          <cell r="K640">
            <v>36</v>
          </cell>
          <cell r="L640">
            <v>72</v>
          </cell>
          <cell r="O640" t="str">
            <v>A36</v>
          </cell>
          <cell r="P640" t="str">
            <v>N</v>
          </cell>
        </row>
        <row r="641">
          <cell r="A641">
            <v>640</v>
          </cell>
          <cell r="B641" t="str">
            <v>PLATINAS (Laminado)</v>
          </cell>
          <cell r="C641" t="str">
            <v>Plt=19x3</v>
          </cell>
          <cell r="D641">
            <v>0.45</v>
          </cell>
          <cell r="E641">
            <v>0.45</v>
          </cell>
          <cell r="F641">
            <v>3</v>
          </cell>
          <cell r="G641">
            <v>19</v>
          </cell>
          <cell r="K641">
            <v>44</v>
          </cell>
          <cell r="L641">
            <v>57</v>
          </cell>
          <cell r="M641" t="str">
            <v>12.57.10.040.00</v>
          </cell>
          <cell r="O641" t="str">
            <v>A36</v>
          </cell>
          <cell r="P641" t="str">
            <v>S</v>
          </cell>
        </row>
        <row r="642">
          <cell r="A642">
            <v>641</v>
          </cell>
          <cell r="B642" t="str">
            <v>PLATINAS (Laminado)</v>
          </cell>
          <cell r="C642" t="str">
            <v>Plt=19x4</v>
          </cell>
          <cell r="D642">
            <v>0.6</v>
          </cell>
          <cell r="E642">
            <v>0.6</v>
          </cell>
          <cell r="F642">
            <v>4</v>
          </cell>
          <cell r="G642">
            <v>19</v>
          </cell>
          <cell r="K642">
            <v>46</v>
          </cell>
          <cell r="L642">
            <v>76</v>
          </cell>
          <cell r="O642" t="str">
            <v>A36</v>
          </cell>
          <cell r="P642" t="str">
            <v>N</v>
          </cell>
        </row>
        <row r="643">
          <cell r="A643">
            <v>642</v>
          </cell>
          <cell r="B643" t="str">
            <v>PLATINAS (Laminado)</v>
          </cell>
          <cell r="C643" t="str">
            <v>Plt=19x6</v>
          </cell>
          <cell r="D643">
            <v>0.89</v>
          </cell>
          <cell r="E643">
            <v>0.89</v>
          </cell>
          <cell r="F643">
            <v>6</v>
          </cell>
          <cell r="G643">
            <v>19</v>
          </cell>
          <cell r="K643">
            <v>50</v>
          </cell>
          <cell r="L643">
            <v>114</v>
          </cell>
          <cell r="M643" t="str">
            <v>12.57.10.060.00</v>
          </cell>
          <cell r="O643" t="str">
            <v>A36</v>
          </cell>
          <cell r="P643" t="str">
            <v>N</v>
          </cell>
        </row>
        <row r="644">
          <cell r="A644">
            <v>643</v>
          </cell>
          <cell r="B644" t="str">
            <v>PLATINAS (Laminado)</v>
          </cell>
          <cell r="C644" t="str">
            <v>Plt=25x3</v>
          </cell>
          <cell r="D644">
            <v>0.59</v>
          </cell>
          <cell r="E644">
            <v>0.59</v>
          </cell>
          <cell r="F644">
            <v>3</v>
          </cell>
          <cell r="G644">
            <v>25</v>
          </cell>
          <cell r="K644">
            <v>56</v>
          </cell>
          <cell r="L644">
            <v>75</v>
          </cell>
          <cell r="M644" t="str">
            <v>12.57.10.070.00</v>
          </cell>
          <cell r="O644" t="str">
            <v>A36</v>
          </cell>
          <cell r="P644" t="str">
            <v>S</v>
          </cell>
        </row>
        <row r="645">
          <cell r="A645">
            <v>644</v>
          </cell>
          <cell r="B645" t="str">
            <v>PLATINAS (Laminado)</v>
          </cell>
          <cell r="C645" t="str">
            <v>Plt=25x4</v>
          </cell>
          <cell r="D645">
            <v>0.79</v>
          </cell>
          <cell r="E645">
            <v>0.79</v>
          </cell>
          <cell r="F645">
            <v>4</v>
          </cell>
          <cell r="G645">
            <v>25</v>
          </cell>
          <cell r="K645">
            <v>58</v>
          </cell>
          <cell r="L645">
            <v>100</v>
          </cell>
          <cell r="M645" t="str">
            <v>12.57.10.080.00</v>
          </cell>
          <cell r="O645" t="str">
            <v>A36</v>
          </cell>
          <cell r="P645" t="str">
            <v>S</v>
          </cell>
        </row>
        <row r="646">
          <cell r="A646">
            <v>645</v>
          </cell>
          <cell r="B646" t="str">
            <v>PLATINAS (Laminado)</v>
          </cell>
          <cell r="C646" t="str">
            <v>Plt=25x6</v>
          </cell>
          <cell r="D646">
            <v>1.18</v>
          </cell>
          <cell r="E646">
            <v>1.18</v>
          </cell>
          <cell r="F646">
            <v>6</v>
          </cell>
          <cell r="G646">
            <v>25</v>
          </cell>
          <cell r="K646">
            <v>62</v>
          </cell>
          <cell r="L646">
            <v>150</v>
          </cell>
          <cell r="M646" t="str">
            <v>12.57.10.090.00</v>
          </cell>
          <cell r="O646" t="str">
            <v>A36</v>
          </cell>
          <cell r="P646" t="str">
            <v>S</v>
          </cell>
        </row>
        <row r="647">
          <cell r="A647">
            <v>646</v>
          </cell>
          <cell r="B647" t="str">
            <v>PLATINAS (Laminado)</v>
          </cell>
          <cell r="C647" t="str">
            <v>Plt=25x9.5</v>
          </cell>
          <cell r="D647">
            <v>1.7649999999999999</v>
          </cell>
          <cell r="E647">
            <v>1.7649999999999999</v>
          </cell>
          <cell r="F647">
            <v>9.5</v>
          </cell>
          <cell r="G647">
            <v>25</v>
          </cell>
          <cell r="K647">
            <v>69</v>
          </cell>
          <cell r="L647">
            <v>237.5</v>
          </cell>
          <cell r="O647" t="str">
            <v>A36</v>
          </cell>
          <cell r="P647" t="str">
            <v>N</v>
          </cell>
        </row>
        <row r="648">
          <cell r="A648">
            <v>647</v>
          </cell>
          <cell r="B648" t="str">
            <v>PLATINAS (Laminado)</v>
          </cell>
          <cell r="C648" t="str">
            <v>Plt=25x12</v>
          </cell>
          <cell r="D648">
            <v>2.355</v>
          </cell>
          <cell r="E648">
            <v>2.355</v>
          </cell>
          <cell r="F648">
            <v>12</v>
          </cell>
          <cell r="G648">
            <v>25</v>
          </cell>
          <cell r="K648">
            <v>74</v>
          </cell>
          <cell r="L648">
            <v>300</v>
          </cell>
          <cell r="O648" t="str">
            <v>A36</v>
          </cell>
          <cell r="P648" t="str">
            <v>N</v>
          </cell>
        </row>
        <row r="649">
          <cell r="A649">
            <v>648</v>
          </cell>
          <cell r="B649" t="str">
            <v>PLATINAS (Laminado)</v>
          </cell>
          <cell r="C649" t="str">
            <v>Plt=30x3</v>
          </cell>
          <cell r="D649">
            <v>0.71</v>
          </cell>
          <cell r="E649">
            <v>0.71</v>
          </cell>
          <cell r="F649">
            <v>3</v>
          </cell>
          <cell r="G649">
            <v>30</v>
          </cell>
          <cell r="K649">
            <v>66</v>
          </cell>
          <cell r="L649">
            <v>90</v>
          </cell>
          <cell r="M649" t="str">
            <v>12.57.10.130.00</v>
          </cell>
          <cell r="N649">
            <v>6000</v>
          </cell>
          <cell r="O649" t="str">
            <v>A36</v>
          </cell>
          <cell r="P649" t="str">
            <v>S</v>
          </cell>
        </row>
        <row r="650">
          <cell r="A650">
            <v>649</v>
          </cell>
          <cell r="B650" t="str">
            <v>PLATINAS (Laminado)</v>
          </cell>
          <cell r="C650" t="str">
            <v>Plt=30x4</v>
          </cell>
          <cell r="D650">
            <v>0.94</v>
          </cell>
          <cell r="E650">
            <v>0.94</v>
          </cell>
          <cell r="F650">
            <v>4</v>
          </cell>
          <cell r="G650">
            <v>30</v>
          </cell>
          <cell r="K650">
            <v>68</v>
          </cell>
          <cell r="L650">
            <v>120</v>
          </cell>
          <cell r="M650" t="str">
            <v>12.57.10.140.00</v>
          </cell>
          <cell r="O650" t="str">
            <v>A36</v>
          </cell>
          <cell r="P650" t="str">
            <v>S</v>
          </cell>
        </row>
        <row r="651">
          <cell r="A651">
            <v>650</v>
          </cell>
          <cell r="B651" t="str">
            <v>PLATINAS (Laminado)</v>
          </cell>
          <cell r="C651" t="str">
            <v>Plt=30x6</v>
          </cell>
          <cell r="D651">
            <v>1.41</v>
          </cell>
          <cell r="E651">
            <v>1.41</v>
          </cell>
          <cell r="F651">
            <v>6</v>
          </cell>
          <cell r="G651">
            <v>30</v>
          </cell>
          <cell r="K651">
            <v>72</v>
          </cell>
          <cell r="L651">
            <v>180</v>
          </cell>
          <cell r="M651" t="str">
            <v>12.57.10.150.00</v>
          </cell>
          <cell r="N651">
            <v>6000</v>
          </cell>
          <cell r="O651" t="str">
            <v>A36</v>
          </cell>
          <cell r="P651" t="str">
            <v>S</v>
          </cell>
        </row>
        <row r="652">
          <cell r="A652">
            <v>651</v>
          </cell>
          <cell r="B652" t="str">
            <v>PLATINAS (Laminado)</v>
          </cell>
          <cell r="C652" t="str">
            <v>Plt=30x9</v>
          </cell>
          <cell r="D652">
            <v>2.12</v>
          </cell>
          <cell r="E652">
            <v>2.12</v>
          </cell>
          <cell r="F652">
            <v>9</v>
          </cell>
          <cell r="G652">
            <v>30</v>
          </cell>
          <cell r="K652">
            <v>78</v>
          </cell>
          <cell r="L652">
            <v>270</v>
          </cell>
          <cell r="M652" t="str">
            <v>12.57.10.160.0</v>
          </cell>
          <cell r="O652" t="str">
            <v>A36</v>
          </cell>
          <cell r="P652" t="str">
            <v>N</v>
          </cell>
        </row>
        <row r="653">
          <cell r="A653">
            <v>652</v>
          </cell>
          <cell r="B653" t="str">
            <v>PLATINAS (Laminado)</v>
          </cell>
          <cell r="C653" t="str">
            <v>Plt=30x12</v>
          </cell>
          <cell r="D653">
            <v>2.83</v>
          </cell>
          <cell r="E653">
            <v>2.83</v>
          </cell>
          <cell r="F653">
            <v>12</v>
          </cell>
          <cell r="G653">
            <v>30</v>
          </cell>
          <cell r="K653">
            <v>84</v>
          </cell>
          <cell r="L653">
            <v>360</v>
          </cell>
          <cell r="O653" t="str">
            <v>A36</v>
          </cell>
          <cell r="P653" t="str">
            <v>N</v>
          </cell>
        </row>
        <row r="654">
          <cell r="A654">
            <v>653</v>
          </cell>
          <cell r="B654" t="str">
            <v>PLATINAS (Laminado)</v>
          </cell>
          <cell r="C654" t="str">
            <v>Plt=38x3</v>
          </cell>
          <cell r="D654">
            <v>0.89</v>
          </cell>
          <cell r="E654">
            <v>0.89</v>
          </cell>
          <cell r="F654">
            <v>3</v>
          </cell>
          <cell r="G654">
            <v>38</v>
          </cell>
          <cell r="K654">
            <v>82</v>
          </cell>
          <cell r="L654">
            <v>114</v>
          </cell>
          <cell r="M654" t="str">
            <v>12.57.10.190.00</v>
          </cell>
          <cell r="O654" t="str">
            <v>A36</v>
          </cell>
          <cell r="P654" t="str">
            <v>S</v>
          </cell>
        </row>
        <row r="655">
          <cell r="A655">
            <v>654</v>
          </cell>
          <cell r="B655" t="str">
            <v>PLATINAS (Laminado)</v>
          </cell>
          <cell r="C655" t="str">
            <v>Plt=38x4</v>
          </cell>
          <cell r="D655">
            <v>1.19</v>
          </cell>
          <cell r="E655">
            <v>1.19</v>
          </cell>
          <cell r="F655">
            <v>4</v>
          </cell>
          <cell r="G655">
            <v>38</v>
          </cell>
          <cell r="K655">
            <v>84</v>
          </cell>
          <cell r="L655">
            <v>152</v>
          </cell>
          <cell r="M655" t="str">
            <v>12.57.10.200.00</v>
          </cell>
          <cell r="O655" t="str">
            <v>A36</v>
          </cell>
          <cell r="P655" t="str">
            <v>S</v>
          </cell>
        </row>
        <row r="656">
          <cell r="A656">
            <v>655</v>
          </cell>
          <cell r="B656" t="str">
            <v>PLATINAS (Laminado)</v>
          </cell>
          <cell r="C656" t="str">
            <v>Plt=38x6</v>
          </cell>
          <cell r="D656">
            <v>1.79</v>
          </cell>
          <cell r="E656">
            <v>1.79</v>
          </cell>
          <cell r="F656">
            <v>6</v>
          </cell>
          <cell r="G656">
            <v>38</v>
          </cell>
          <cell r="K656">
            <v>88</v>
          </cell>
          <cell r="L656">
            <v>228</v>
          </cell>
          <cell r="M656" t="str">
            <v>12.57.10.210.00</v>
          </cell>
          <cell r="O656" t="str">
            <v>A36</v>
          </cell>
          <cell r="P656" t="str">
            <v>S</v>
          </cell>
        </row>
        <row r="657">
          <cell r="A657">
            <v>656</v>
          </cell>
          <cell r="B657" t="str">
            <v>PLATINAS (Laminado)</v>
          </cell>
          <cell r="C657" t="str">
            <v>Plt=38x9</v>
          </cell>
          <cell r="D657">
            <v>2.69</v>
          </cell>
          <cell r="E657">
            <v>2.69</v>
          </cell>
          <cell r="F657">
            <v>9</v>
          </cell>
          <cell r="G657">
            <v>38</v>
          </cell>
          <cell r="K657">
            <v>94</v>
          </cell>
          <cell r="L657">
            <v>342</v>
          </cell>
          <cell r="M657" t="str">
            <v>12.57.10.220.0</v>
          </cell>
          <cell r="O657" t="str">
            <v>A36</v>
          </cell>
          <cell r="P657" t="str">
            <v>N</v>
          </cell>
        </row>
        <row r="658">
          <cell r="A658">
            <v>657</v>
          </cell>
          <cell r="B658" t="str">
            <v>PLATINAS (Laminado)</v>
          </cell>
          <cell r="C658" t="str">
            <v>Plt=38x12</v>
          </cell>
          <cell r="D658">
            <v>3.58</v>
          </cell>
          <cell r="E658">
            <v>3.58</v>
          </cell>
          <cell r="F658">
            <v>12</v>
          </cell>
          <cell r="G658">
            <v>38</v>
          </cell>
          <cell r="K658">
            <v>100</v>
          </cell>
          <cell r="L658">
            <v>456</v>
          </cell>
          <cell r="O658" t="str">
            <v>A36</v>
          </cell>
          <cell r="P658" t="str">
            <v>N</v>
          </cell>
        </row>
        <row r="659">
          <cell r="A659">
            <v>658</v>
          </cell>
          <cell r="B659" t="str">
            <v>PLATINAS (Laminado)</v>
          </cell>
          <cell r="C659" t="str">
            <v>Plt=50x3</v>
          </cell>
          <cell r="D659">
            <v>1.18</v>
          </cell>
          <cell r="E659">
            <v>1.18</v>
          </cell>
          <cell r="F659">
            <v>3</v>
          </cell>
          <cell r="G659">
            <v>50</v>
          </cell>
          <cell r="K659">
            <v>106</v>
          </cell>
          <cell r="L659">
            <v>150</v>
          </cell>
          <cell r="M659" t="str">
            <v>12.57.10.250.00</v>
          </cell>
          <cell r="O659" t="str">
            <v>A36</v>
          </cell>
          <cell r="P659" t="str">
            <v>S</v>
          </cell>
        </row>
        <row r="660">
          <cell r="A660">
            <v>659</v>
          </cell>
          <cell r="B660" t="str">
            <v>PLATINAS (Laminado)</v>
          </cell>
          <cell r="C660" t="str">
            <v>Plt=50x4</v>
          </cell>
          <cell r="D660">
            <v>1.58</v>
          </cell>
          <cell r="E660">
            <v>1.58</v>
          </cell>
          <cell r="F660">
            <v>4</v>
          </cell>
          <cell r="G660">
            <v>50</v>
          </cell>
          <cell r="K660">
            <v>108</v>
          </cell>
          <cell r="L660">
            <v>200</v>
          </cell>
          <cell r="M660" t="str">
            <v>12.57.10.260.00</v>
          </cell>
          <cell r="O660" t="str">
            <v>A36</v>
          </cell>
          <cell r="P660" t="str">
            <v>S</v>
          </cell>
        </row>
        <row r="661">
          <cell r="A661">
            <v>660</v>
          </cell>
          <cell r="B661" t="str">
            <v>PLATINAS (Laminado)</v>
          </cell>
          <cell r="C661" t="str">
            <v>Plt=50x6</v>
          </cell>
          <cell r="D661">
            <v>2.2599999999999998</v>
          </cell>
          <cell r="E661">
            <v>2.2599999999999998</v>
          </cell>
          <cell r="F661">
            <v>6</v>
          </cell>
          <cell r="G661">
            <v>50</v>
          </cell>
          <cell r="K661">
            <v>112</v>
          </cell>
          <cell r="L661">
            <v>300</v>
          </cell>
          <cell r="M661" t="str">
            <v>12.57.10.270.00</v>
          </cell>
          <cell r="O661" t="str">
            <v>A36</v>
          </cell>
          <cell r="P661" t="str">
            <v>S</v>
          </cell>
        </row>
        <row r="662">
          <cell r="A662">
            <v>661</v>
          </cell>
          <cell r="B662" t="str">
            <v>PLATINAS (Laminado)</v>
          </cell>
          <cell r="C662" t="str">
            <v>Plt=50x9</v>
          </cell>
          <cell r="D662">
            <v>3.53</v>
          </cell>
          <cell r="E662">
            <v>3.53</v>
          </cell>
          <cell r="F662">
            <v>9</v>
          </cell>
          <cell r="G662">
            <v>50</v>
          </cell>
          <cell r="K662">
            <v>118</v>
          </cell>
          <cell r="L662">
            <v>450</v>
          </cell>
          <cell r="M662" t="str">
            <v>12.57.10.280.00</v>
          </cell>
          <cell r="O662" t="str">
            <v>A36</v>
          </cell>
          <cell r="P662" t="str">
            <v>N</v>
          </cell>
        </row>
        <row r="663">
          <cell r="A663">
            <v>662</v>
          </cell>
          <cell r="B663" t="str">
            <v>PLATINAS (Laminado)</v>
          </cell>
          <cell r="C663" t="str">
            <v>Plt=50x12</v>
          </cell>
          <cell r="D663">
            <v>4.71</v>
          </cell>
          <cell r="E663">
            <v>4.71</v>
          </cell>
          <cell r="F663">
            <v>12</v>
          </cell>
          <cell r="G663">
            <v>50</v>
          </cell>
          <cell r="K663">
            <v>124</v>
          </cell>
          <cell r="L663">
            <v>600</v>
          </cell>
          <cell r="M663" t="str">
            <v>12.57.10.300.00</v>
          </cell>
          <cell r="O663" t="str">
            <v>A36</v>
          </cell>
          <cell r="P663" t="str">
            <v>N</v>
          </cell>
        </row>
        <row r="664">
          <cell r="A664">
            <v>663</v>
          </cell>
          <cell r="B664" t="str">
            <v>PLATINAS (Laminado)</v>
          </cell>
          <cell r="C664" t="str">
            <v>Plt=65x6</v>
          </cell>
          <cell r="D664">
            <v>3.06</v>
          </cell>
          <cell r="E664">
            <v>3.06</v>
          </cell>
          <cell r="F664">
            <v>6</v>
          </cell>
          <cell r="G664">
            <v>65</v>
          </cell>
          <cell r="K664">
            <v>142</v>
          </cell>
          <cell r="L664">
            <v>390</v>
          </cell>
          <cell r="M664" t="str">
            <v>12.57.10.310.00</v>
          </cell>
          <cell r="O664" t="str">
            <v>A36</v>
          </cell>
          <cell r="P664" t="str">
            <v>N</v>
          </cell>
        </row>
        <row r="665">
          <cell r="A665">
            <v>664</v>
          </cell>
          <cell r="B665" t="str">
            <v>PLATINAS (Laminado)</v>
          </cell>
          <cell r="C665" t="str">
            <v>Plt=65x9</v>
          </cell>
          <cell r="D665">
            <v>4.59</v>
          </cell>
          <cell r="E665">
            <v>4.59</v>
          </cell>
          <cell r="F665">
            <v>9</v>
          </cell>
          <cell r="G665">
            <v>65</v>
          </cell>
          <cell r="K665">
            <v>148</v>
          </cell>
          <cell r="L665">
            <v>585</v>
          </cell>
          <cell r="M665" t="str">
            <v>12.57.10.320.0</v>
          </cell>
          <cell r="O665" t="str">
            <v>A36</v>
          </cell>
          <cell r="P665" t="str">
            <v>N</v>
          </cell>
        </row>
        <row r="666">
          <cell r="A666">
            <v>665</v>
          </cell>
          <cell r="B666" t="str">
            <v>PLATINAS (Laminado)</v>
          </cell>
          <cell r="C666" t="str">
            <v>Plt=65x12</v>
          </cell>
          <cell r="D666">
            <v>6.12</v>
          </cell>
          <cell r="E666">
            <v>6.12</v>
          </cell>
          <cell r="F666">
            <v>12</v>
          </cell>
          <cell r="G666">
            <v>65</v>
          </cell>
          <cell r="K666">
            <v>154</v>
          </cell>
          <cell r="L666">
            <v>780</v>
          </cell>
          <cell r="O666" t="str">
            <v>A36</v>
          </cell>
          <cell r="P666" t="str">
            <v>N</v>
          </cell>
        </row>
        <row r="667">
          <cell r="A667">
            <v>666</v>
          </cell>
          <cell r="B667" t="str">
            <v>PLATINAS (Laminado)</v>
          </cell>
          <cell r="C667" t="str">
            <v>Plt=75x6</v>
          </cell>
          <cell r="D667">
            <v>3.53</v>
          </cell>
          <cell r="E667">
            <v>3.53</v>
          </cell>
          <cell r="F667">
            <v>6</v>
          </cell>
          <cell r="G667">
            <v>75</v>
          </cell>
          <cell r="K667">
            <v>162</v>
          </cell>
          <cell r="L667">
            <v>450</v>
          </cell>
          <cell r="M667" t="str">
            <v>12.57.10.350.00</v>
          </cell>
          <cell r="O667" t="str">
            <v>A36</v>
          </cell>
          <cell r="P667" t="str">
            <v>S</v>
          </cell>
        </row>
        <row r="668">
          <cell r="A668">
            <v>667</v>
          </cell>
          <cell r="B668" t="str">
            <v>PLATINAS (Laminado)</v>
          </cell>
          <cell r="C668" t="str">
            <v>Plt=75x9</v>
          </cell>
          <cell r="D668">
            <v>5.3</v>
          </cell>
          <cell r="E668">
            <v>5.3</v>
          </cell>
          <cell r="F668">
            <v>9</v>
          </cell>
          <cell r="G668">
            <v>75</v>
          </cell>
          <cell r="K668">
            <v>168</v>
          </cell>
          <cell r="L668">
            <v>675</v>
          </cell>
          <cell r="M668" t="str">
            <v>12.57.10.360.0</v>
          </cell>
          <cell r="O668" t="str">
            <v>A36</v>
          </cell>
          <cell r="P668" t="str">
            <v>N</v>
          </cell>
        </row>
        <row r="669">
          <cell r="A669">
            <v>668</v>
          </cell>
          <cell r="B669" t="str">
            <v>PLATINAS (Laminado)</v>
          </cell>
          <cell r="C669" t="str">
            <v>Plt=75x12</v>
          </cell>
          <cell r="D669">
            <v>7.1166666666666671</v>
          </cell>
          <cell r="E669">
            <v>7.1166666666666671</v>
          </cell>
          <cell r="F669">
            <v>12</v>
          </cell>
          <cell r="G669">
            <v>75</v>
          </cell>
          <cell r="K669">
            <v>174</v>
          </cell>
          <cell r="L669">
            <v>900</v>
          </cell>
          <cell r="M669" t="str">
            <v>12.57.10.380.0</v>
          </cell>
          <cell r="O669" t="str">
            <v>A36</v>
          </cell>
          <cell r="P669" t="str">
            <v>N</v>
          </cell>
        </row>
        <row r="670">
          <cell r="A670">
            <v>669</v>
          </cell>
          <cell r="B670" t="str">
            <v>PLATINAS (Laminado)</v>
          </cell>
          <cell r="C670" t="str">
            <v>Plt=100x6</v>
          </cell>
          <cell r="D670">
            <v>4.71</v>
          </cell>
          <cell r="E670">
            <v>4.71</v>
          </cell>
          <cell r="F670">
            <v>6</v>
          </cell>
          <cell r="G670">
            <v>100</v>
          </cell>
          <cell r="K670">
            <v>212</v>
          </cell>
          <cell r="L670">
            <v>600</v>
          </cell>
          <cell r="M670" t="str">
            <v>12.57.10.390.00</v>
          </cell>
          <cell r="O670" t="str">
            <v>A36</v>
          </cell>
          <cell r="P670" t="str">
            <v>S</v>
          </cell>
        </row>
        <row r="671">
          <cell r="A671">
            <v>670</v>
          </cell>
          <cell r="B671" t="str">
            <v>PLATINAS (Laminado)</v>
          </cell>
          <cell r="C671" t="str">
            <v>Plt=100x8</v>
          </cell>
          <cell r="D671">
            <v>6.28</v>
          </cell>
          <cell r="E671">
            <v>6.28</v>
          </cell>
          <cell r="F671">
            <v>8</v>
          </cell>
          <cell r="G671">
            <v>100</v>
          </cell>
          <cell r="K671">
            <v>216</v>
          </cell>
          <cell r="L671">
            <v>800</v>
          </cell>
          <cell r="O671" t="str">
            <v>A36</v>
          </cell>
          <cell r="P671" t="str">
            <v>S</v>
          </cell>
        </row>
        <row r="672">
          <cell r="A672">
            <v>671</v>
          </cell>
          <cell r="B672" t="str">
            <v>PLATINAS (Laminado)</v>
          </cell>
          <cell r="C672" t="str">
            <v>Plt=100x9</v>
          </cell>
          <cell r="D672">
            <v>7.0650000000000004</v>
          </cell>
          <cell r="E672">
            <v>7.0650000000000004</v>
          </cell>
          <cell r="F672">
            <v>9</v>
          </cell>
          <cell r="G672">
            <v>100</v>
          </cell>
          <cell r="K672">
            <v>218</v>
          </cell>
          <cell r="L672">
            <v>900</v>
          </cell>
          <cell r="M672" t="str">
            <v>12.57.10.410.00</v>
          </cell>
          <cell r="O672" t="str">
            <v>A36</v>
          </cell>
          <cell r="P672" t="str">
            <v>N</v>
          </cell>
        </row>
        <row r="673">
          <cell r="A673">
            <v>672</v>
          </cell>
          <cell r="B673" t="str">
            <v>PLATINAS (Laminado)</v>
          </cell>
          <cell r="C673" t="str">
            <v>Plt=100x12</v>
          </cell>
          <cell r="D673">
            <v>9.42</v>
          </cell>
          <cell r="E673">
            <v>9.42</v>
          </cell>
          <cell r="F673">
            <v>12</v>
          </cell>
          <cell r="G673">
            <v>100</v>
          </cell>
          <cell r="K673">
            <v>224</v>
          </cell>
          <cell r="L673">
            <v>1200</v>
          </cell>
          <cell r="M673" t="str">
            <v>12.57.10.430.00</v>
          </cell>
          <cell r="O673" t="str">
            <v>A36</v>
          </cell>
          <cell r="P673" t="str">
            <v>N</v>
          </cell>
        </row>
        <row r="674">
          <cell r="A674">
            <v>673</v>
          </cell>
          <cell r="B674" t="str">
            <v>PLATINAS (Laminado)</v>
          </cell>
          <cell r="C674" t="str">
            <v>Plt=120x12</v>
          </cell>
          <cell r="D674">
            <v>67.819999999999993</v>
          </cell>
          <cell r="E674">
            <v>67.819999999999993</v>
          </cell>
          <cell r="F674">
            <v>12</v>
          </cell>
          <cell r="G674">
            <v>120</v>
          </cell>
          <cell r="K674">
            <v>264</v>
          </cell>
          <cell r="L674">
            <v>1440</v>
          </cell>
          <cell r="O674" t="str">
            <v>A36</v>
          </cell>
          <cell r="P674" t="str">
            <v>N</v>
          </cell>
        </row>
        <row r="675">
          <cell r="A675">
            <v>674</v>
          </cell>
          <cell r="B675" t="str">
            <v>PLATINAS (Laminado)</v>
          </cell>
          <cell r="C675" t="str">
            <v>Plt=150x15</v>
          </cell>
          <cell r="D675">
            <v>105.88</v>
          </cell>
          <cell r="E675">
            <v>105.88</v>
          </cell>
          <cell r="F675">
            <v>15</v>
          </cell>
          <cell r="G675">
            <v>150</v>
          </cell>
          <cell r="K675">
            <v>330</v>
          </cell>
          <cell r="L675">
            <v>2250</v>
          </cell>
          <cell r="O675" t="str">
            <v>A36</v>
          </cell>
          <cell r="P675" t="str">
            <v>N</v>
          </cell>
        </row>
        <row r="676">
          <cell r="A676">
            <v>675</v>
          </cell>
          <cell r="B676" t="str">
            <v>PLATINAS (Laminado)</v>
          </cell>
          <cell r="C676" t="str">
            <v>Plt=150x20</v>
          </cell>
          <cell r="D676">
            <v>145.44</v>
          </cell>
          <cell r="E676">
            <v>145.44</v>
          </cell>
          <cell r="F676">
            <v>20</v>
          </cell>
          <cell r="G676">
            <v>150</v>
          </cell>
          <cell r="K676">
            <v>340</v>
          </cell>
          <cell r="L676">
            <v>3000</v>
          </cell>
          <cell r="O676" t="str">
            <v>A36</v>
          </cell>
          <cell r="P676" t="str">
            <v>N</v>
          </cell>
        </row>
        <row r="677">
          <cell r="A677">
            <v>676</v>
          </cell>
          <cell r="B677" t="str">
            <v>PLACAS ASTM  A36</v>
          </cell>
          <cell r="C677" t="str">
            <v>PLE 1,5mm</v>
          </cell>
          <cell r="D677">
            <v>11.775</v>
          </cell>
          <cell r="E677">
            <v>11.775</v>
          </cell>
          <cell r="M677" t="str">
            <v>12.54.52.200.0</v>
          </cell>
          <cell r="O677" t="str">
            <v>A36</v>
          </cell>
          <cell r="P677" t="str">
            <v>S</v>
          </cell>
        </row>
        <row r="678">
          <cell r="A678">
            <v>677</v>
          </cell>
          <cell r="B678" t="str">
            <v>PLACAS ASTM  A36 1220x2440</v>
          </cell>
          <cell r="C678" t="str">
            <v>PLE 2mm</v>
          </cell>
          <cell r="D678">
            <v>15.700000000000001</v>
          </cell>
          <cell r="E678">
            <v>15.700000000000001</v>
          </cell>
          <cell r="M678" t="str">
            <v>12.54.52.230.01</v>
          </cell>
          <cell r="O678" t="str">
            <v>A36</v>
          </cell>
          <cell r="P678" t="str">
            <v>S</v>
          </cell>
        </row>
        <row r="679">
          <cell r="A679">
            <v>678</v>
          </cell>
          <cell r="B679" t="str">
            <v>PLACAS ASTM  A36</v>
          </cell>
          <cell r="C679" t="str">
            <v>PLE 2,35mm</v>
          </cell>
          <cell r="D679">
            <v>18.447500000000002</v>
          </cell>
          <cell r="E679">
            <v>18.447500000000002</v>
          </cell>
          <cell r="O679" t="str">
            <v>A36</v>
          </cell>
          <cell r="P679" t="str">
            <v>S</v>
          </cell>
        </row>
        <row r="680">
          <cell r="A680">
            <v>679</v>
          </cell>
          <cell r="B680" t="str">
            <v>PLACAS ASTM  A36</v>
          </cell>
          <cell r="C680" t="str">
            <v>PLE 2.5mm</v>
          </cell>
          <cell r="D680">
            <v>19.625</v>
          </cell>
          <cell r="E680">
            <v>19.625</v>
          </cell>
          <cell r="O680" t="str">
            <v>A36</v>
          </cell>
          <cell r="P680" t="str">
            <v>S</v>
          </cell>
        </row>
        <row r="681">
          <cell r="A681">
            <v>680</v>
          </cell>
          <cell r="B681" t="str">
            <v>PLACAS ASTM  A36 2440x1220</v>
          </cell>
          <cell r="C681" t="str">
            <v>PLE 3 mm</v>
          </cell>
          <cell r="D681">
            <v>23.55</v>
          </cell>
          <cell r="E681">
            <v>23.55</v>
          </cell>
          <cell r="M681" t="str">
            <v>12.54.52.270.00</v>
          </cell>
          <cell r="O681" t="str">
            <v>A36</v>
          </cell>
          <cell r="P681" t="str">
            <v>S</v>
          </cell>
        </row>
        <row r="682">
          <cell r="A682">
            <v>681</v>
          </cell>
          <cell r="B682" t="str">
            <v>PLACAS ASTM  A36 2440x1220</v>
          </cell>
          <cell r="C682" t="str">
            <v>PLE 4mm</v>
          </cell>
          <cell r="D682">
            <v>31.400000000000002</v>
          </cell>
          <cell r="E682">
            <v>31.400000000000002</v>
          </cell>
          <cell r="M682" t="str">
            <v>12.54.52.290.00</v>
          </cell>
          <cell r="O682" t="str">
            <v>A36</v>
          </cell>
          <cell r="P682" t="str">
            <v>S</v>
          </cell>
        </row>
        <row r="683">
          <cell r="A683">
            <v>682</v>
          </cell>
          <cell r="B683" t="str">
            <v>PLACAS ASTM  A36 6000x1500</v>
          </cell>
          <cell r="C683" t="str">
            <v>PLE 5mm</v>
          </cell>
          <cell r="D683">
            <v>39.25</v>
          </cell>
          <cell r="E683">
            <v>39.25</v>
          </cell>
          <cell r="M683" t="str">
            <v>12.54.52.310.03</v>
          </cell>
          <cell r="O683" t="str">
            <v>A36</v>
          </cell>
          <cell r="P683" t="str">
            <v>S</v>
          </cell>
        </row>
        <row r="684">
          <cell r="A684">
            <v>683</v>
          </cell>
          <cell r="B684" t="str">
            <v>PLACAS ASTM  A36 6000x1220</v>
          </cell>
          <cell r="C684" t="str">
            <v>PLE 6mm</v>
          </cell>
          <cell r="D684">
            <v>47.1</v>
          </cell>
          <cell r="E684">
            <v>47.1</v>
          </cell>
          <cell r="M684" t="str">
            <v>12.54.52.330.03</v>
          </cell>
          <cell r="O684" t="str">
            <v>A36</v>
          </cell>
          <cell r="P684" t="str">
            <v>S</v>
          </cell>
        </row>
        <row r="685">
          <cell r="A685">
            <v>684</v>
          </cell>
          <cell r="B685" t="str">
            <v>PLACAS ASTM  A36 6000x1220</v>
          </cell>
          <cell r="C685" t="str">
            <v>PLE 8mm</v>
          </cell>
          <cell r="D685">
            <v>62.800000000000004</v>
          </cell>
          <cell r="E685">
            <v>62.800000000000004</v>
          </cell>
          <cell r="M685" t="str">
            <v>12.54.52.350.0C</v>
          </cell>
          <cell r="O685" t="str">
            <v>A36</v>
          </cell>
          <cell r="P685" t="str">
            <v>S</v>
          </cell>
        </row>
        <row r="686">
          <cell r="A686">
            <v>685</v>
          </cell>
          <cell r="B686" t="str">
            <v>PLACAS ASTM  A36</v>
          </cell>
          <cell r="C686" t="str">
            <v>PLE 9mm</v>
          </cell>
          <cell r="D686">
            <v>70.649999999999991</v>
          </cell>
          <cell r="E686">
            <v>70.649999999999991</v>
          </cell>
          <cell r="O686" t="str">
            <v>A36</v>
          </cell>
          <cell r="P686" t="str">
            <v>S</v>
          </cell>
        </row>
        <row r="687">
          <cell r="A687">
            <v>686</v>
          </cell>
          <cell r="B687" t="str">
            <v>PLACAS ASTM  A36 12000x1800</v>
          </cell>
          <cell r="C687" t="str">
            <v>PLE 10mm</v>
          </cell>
          <cell r="D687">
            <v>78.5</v>
          </cell>
          <cell r="E687">
            <v>78.5</v>
          </cell>
          <cell r="M687" t="str">
            <v>12.54.52.370.07</v>
          </cell>
          <cell r="O687" t="str">
            <v>A36</v>
          </cell>
          <cell r="P687" t="str">
            <v>S</v>
          </cell>
        </row>
        <row r="688">
          <cell r="A688">
            <v>687</v>
          </cell>
          <cell r="B688" t="str">
            <v>PLACAS ASTM  A36 12000x2500</v>
          </cell>
          <cell r="C688" t="str">
            <v>PLE 12mm</v>
          </cell>
          <cell r="D688">
            <v>94.2</v>
          </cell>
          <cell r="E688">
            <v>94.2</v>
          </cell>
          <cell r="M688" t="str">
            <v>12.54.52.390.00</v>
          </cell>
          <cell r="O688" t="str">
            <v>A36</v>
          </cell>
          <cell r="P688" t="str">
            <v>S</v>
          </cell>
        </row>
        <row r="689">
          <cell r="A689">
            <v>688</v>
          </cell>
          <cell r="B689" t="str">
            <v>PLACAS ASTM  A36</v>
          </cell>
          <cell r="C689" t="str">
            <v>PLE 14mm</v>
          </cell>
          <cell r="D689">
            <v>109.9</v>
          </cell>
          <cell r="E689">
            <v>109.9</v>
          </cell>
          <cell r="O689" t="str">
            <v>A36</v>
          </cell>
          <cell r="P689" t="str">
            <v>S</v>
          </cell>
        </row>
        <row r="690">
          <cell r="A690">
            <v>689</v>
          </cell>
          <cell r="B690" t="str">
            <v>PLACAS ASTM  A36 6100x2440</v>
          </cell>
          <cell r="C690" t="str">
            <v>PLE 15mm</v>
          </cell>
          <cell r="D690">
            <v>117.75</v>
          </cell>
          <cell r="E690">
            <v>117.75</v>
          </cell>
          <cell r="M690" t="str">
            <v>12.54.52.420.01</v>
          </cell>
          <cell r="O690" t="str">
            <v>A36</v>
          </cell>
          <cell r="P690" t="str">
            <v>S</v>
          </cell>
        </row>
        <row r="691">
          <cell r="A691">
            <v>690</v>
          </cell>
          <cell r="B691" t="str">
            <v>PLACAS ASTM  A36 12000x2500</v>
          </cell>
          <cell r="C691" t="str">
            <v>PLE 16mm</v>
          </cell>
          <cell r="D691">
            <v>125.60000000000001</v>
          </cell>
          <cell r="E691">
            <v>125.60000000000001</v>
          </cell>
          <cell r="M691" t="str">
            <v>12.54.52.430.00</v>
          </cell>
          <cell r="O691" t="str">
            <v>A36</v>
          </cell>
          <cell r="P691" t="str">
            <v>S</v>
          </cell>
        </row>
        <row r="692">
          <cell r="A692">
            <v>691</v>
          </cell>
          <cell r="B692" t="str">
            <v>PLACAS ASTM  A36 12000x2500</v>
          </cell>
          <cell r="C692" t="str">
            <v>PLE 18mm</v>
          </cell>
          <cell r="D692">
            <v>141.29999999999998</v>
          </cell>
          <cell r="E692">
            <v>141.29999999999998</v>
          </cell>
          <cell r="M692" t="str">
            <v>12.54.52.450.00</v>
          </cell>
          <cell r="O692" t="str">
            <v>A36</v>
          </cell>
          <cell r="P692" t="str">
            <v>S</v>
          </cell>
        </row>
        <row r="693">
          <cell r="A693">
            <v>692</v>
          </cell>
          <cell r="B693" t="str">
            <v>PLACAS ASTM  A36</v>
          </cell>
          <cell r="C693" t="str">
            <v>PLE 19mm</v>
          </cell>
          <cell r="D693">
            <v>149.15</v>
          </cell>
          <cell r="E693">
            <v>149.15</v>
          </cell>
          <cell r="M693" t="str">
            <v>12.54.52.460.0</v>
          </cell>
          <cell r="O693" t="str">
            <v>A36</v>
          </cell>
          <cell r="P693" t="str">
            <v>N</v>
          </cell>
        </row>
        <row r="694">
          <cell r="A694">
            <v>693</v>
          </cell>
          <cell r="B694" t="str">
            <v>PLACAS ASTM  A36 6100x2440</v>
          </cell>
          <cell r="C694" t="str">
            <v>PLE 20mm</v>
          </cell>
          <cell r="D694">
            <v>157</v>
          </cell>
          <cell r="E694">
            <v>157</v>
          </cell>
          <cell r="M694" t="str">
            <v>12.54.52.470.03</v>
          </cell>
          <cell r="O694" t="str">
            <v>A36</v>
          </cell>
          <cell r="P694" t="str">
            <v>S</v>
          </cell>
        </row>
        <row r="695">
          <cell r="A695">
            <v>694</v>
          </cell>
          <cell r="B695" t="str">
            <v>PLACAS ASTM  A36 12000x2500</v>
          </cell>
          <cell r="C695" t="str">
            <v>PLE 22mm</v>
          </cell>
          <cell r="D695">
            <v>172.7</v>
          </cell>
          <cell r="E695">
            <v>172.7</v>
          </cell>
          <cell r="M695" t="str">
            <v>12.54.52.490.00</v>
          </cell>
          <cell r="O695" t="str">
            <v>A36</v>
          </cell>
          <cell r="P695" t="str">
            <v>S</v>
          </cell>
        </row>
        <row r="696">
          <cell r="A696">
            <v>695</v>
          </cell>
          <cell r="B696" t="str">
            <v>PLACAS ASTM  A36 12000x2500</v>
          </cell>
          <cell r="C696" t="str">
            <v>PLE 25mm</v>
          </cell>
          <cell r="D696">
            <v>196.25</v>
          </cell>
          <cell r="E696">
            <v>196.25</v>
          </cell>
          <cell r="M696" t="str">
            <v>12.54.52.510.00</v>
          </cell>
          <cell r="O696" t="str">
            <v>A36</v>
          </cell>
          <cell r="P696" t="str">
            <v>S</v>
          </cell>
        </row>
        <row r="697">
          <cell r="A697">
            <v>696</v>
          </cell>
          <cell r="B697" t="str">
            <v>PLACAS ASTM  A36 12000x2500</v>
          </cell>
          <cell r="C697" t="str">
            <v>PLE 30mm</v>
          </cell>
          <cell r="D697">
            <v>235.5</v>
          </cell>
          <cell r="E697">
            <v>235.5</v>
          </cell>
          <cell r="M697" t="str">
            <v>12.54.52.520.00</v>
          </cell>
          <cell r="O697" t="str">
            <v>A36</v>
          </cell>
          <cell r="P697" t="str">
            <v>S</v>
          </cell>
        </row>
        <row r="698">
          <cell r="A698">
            <v>697</v>
          </cell>
          <cell r="B698" t="str">
            <v>PLACAS ASTM  A36</v>
          </cell>
          <cell r="C698" t="str">
            <v>PLE 35mm</v>
          </cell>
          <cell r="D698">
            <v>274.75</v>
          </cell>
          <cell r="E698">
            <v>274.75</v>
          </cell>
          <cell r="O698" t="str">
            <v>A36</v>
          </cell>
          <cell r="P698" t="str">
            <v>S</v>
          </cell>
        </row>
        <row r="699">
          <cell r="A699">
            <v>698</v>
          </cell>
          <cell r="B699" t="str">
            <v>PLACAS ASTM  A36</v>
          </cell>
          <cell r="C699" t="str">
            <v>PLE 36mm</v>
          </cell>
          <cell r="D699">
            <v>282.59999999999997</v>
          </cell>
          <cell r="E699">
            <v>282.59999999999997</v>
          </cell>
          <cell r="O699" t="str">
            <v>A36</v>
          </cell>
          <cell r="P699" t="str">
            <v>S</v>
          </cell>
        </row>
        <row r="700">
          <cell r="A700">
            <v>699</v>
          </cell>
          <cell r="B700" t="str">
            <v>PLACAS ASTM  A36 12000x2500</v>
          </cell>
          <cell r="C700" t="str">
            <v>PLE 38mm</v>
          </cell>
          <cell r="D700">
            <v>298.3</v>
          </cell>
          <cell r="E700">
            <v>298.3</v>
          </cell>
          <cell r="M700" t="str">
            <v>12.54.52.550.00</v>
          </cell>
          <cell r="O700" t="str">
            <v>A36</v>
          </cell>
          <cell r="P700" t="str">
            <v>N</v>
          </cell>
        </row>
        <row r="701">
          <cell r="A701">
            <v>700</v>
          </cell>
          <cell r="B701" t="str">
            <v>PLACAS ASTM  A36</v>
          </cell>
          <cell r="C701" t="str">
            <v>PLE 40mm</v>
          </cell>
          <cell r="D701">
            <v>314</v>
          </cell>
          <cell r="E701">
            <v>314</v>
          </cell>
          <cell r="O701" t="str">
            <v>A36</v>
          </cell>
          <cell r="P701" t="str">
            <v>S</v>
          </cell>
        </row>
        <row r="702">
          <cell r="A702">
            <v>701</v>
          </cell>
          <cell r="B702" t="str">
            <v>PLACAS ASTM  A36</v>
          </cell>
          <cell r="C702" t="str">
            <v>PLE 45mm</v>
          </cell>
          <cell r="D702">
            <v>353.25</v>
          </cell>
          <cell r="E702">
            <v>353.25</v>
          </cell>
          <cell r="M702" t="str">
            <v>12.54.52.570.02</v>
          </cell>
          <cell r="O702" t="str">
            <v>A36</v>
          </cell>
          <cell r="P702" t="str">
            <v>S</v>
          </cell>
        </row>
        <row r="703">
          <cell r="A703">
            <v>702</v>
          </cell>
          <cell r="B703" t="str">
            <v>PLACAS ASTM  A36 6100x2440</v>
          </cell>
          <cell r="C703" t="str">
            <v>PLE 50mm</v>
          </cell>
          <cell r="D703">
            <v>392.5</v>
          </cell>
          <cell r="E703">
            <v>392.5</v>
          </cell>
          <cell r="M703" t="str">
            <v>12.54.52.580.02</v>
          </cell>
          <cell r="O703" t="str">
            <v>A36</v>
          </cell>
          <cell r="P703" t="str">
            <v>N</v>
          </cell>
        </row>
        <row r="704">
          <cell r="A704">
            <v>703</v>
          </cell>
          <cell r="B704" t="str">
            <v>PLACAS ASTM  A36</v>
          </cell>
          <cell r="C704" t="str">
            <v>PLE 55mm</v>
          </cell>
          <cell r="D704">
            <v>431.75</v>
          </cell>
          <cell r="E704">
            <v>431.75</v>
          </cell>
          <cell r="O704" t="str">
            <v>A36</v>
          </cell>
          <cell r="P704" t="str">
            <v>S</v>
          </cell>
        </row>
        <row r="705">
          <cell r="A705">
            <v>704</v>
          </cell>
          <cell r="B705" t="str">
            <v>PLACAS ASTM  A36</v>
          </cell>
          <cell r="C705" t="str">
            <v>PLE 60mm</v>
          </cell>
          <cell r="D705">
            <v>471</v>
          </cell>
          <cell r="E705">
            <v>471</v>
          </cell>
          <cell r="O705" t="str">
            <v>A36</v>
          </cell>
          <cell r="P705" t="str">
            <v>S</v>
          </cell>
        </row>
        <row r="706">
          <cell r="A706">
            <v>705</v>
          </cell>
          <cell r="B706" t="str">
            <v>PLACAS ASTM  A36</v>
          </cell>
          <cell r="C706" t="str">
            <v>PLE 65mm</v>
          </cell>
          <cell r="D706">
            <v>510.25</v>
          </cell>
          <cell r="E706">
            <v>510.25</v>
          </cell>
          <cell r="M706" t="str">
            <v>12.54.52.610.05</v>
          </cell>
          <cell r="O706" t="str">
            <v>A36</v>
          </cell>
          <cell r="P706" t="str">
            <v>S</v>
          </cell>
        </row>
        <row r="707">
          <cell r="A707">
            <v>706</v>
          </cell>
          <cell r="B707" t="str">
            <v>PLACAS ASTM  A36</v>
          </cell>
          <cell r="C707" t="str">
            <v>PLE 70mm</v>
          </cell>
          <cell r="D707">
            <v>549.5</v>
          </cell>
          <cell r="E707">
            <v>549.5</v>
          </cell>
          <cell r="O707" t="str">
            <v>A36</v>
          </cell>
          <cell r="P707" t="str">
            <v>S</v>
          </cell>
        </row>
        <row r="708">
          <cell r="A708">
            <v>707</v>
          </cell>
          <cell r="B708" t="str">
            <v>PLACAS ASTM  A36 6100x2440</v>
          </cell>
          <cell r="C708" t="str">
            <v>PLE 75mm</v>
          </cell>
          <cell r="D708">
            <v>588.75</v>
          </cell>
          <cell r="E708">
            <v>588.75</v>
          </cell>
          <cell r="M708" t="str">
            <v>12.54.52.630.0</v>
          </cell>
          <cell r="O708" t="str">
            <v>A36</v>
          </cell>
          <cell r="P708" t="str">
            <v>S</v>
          </cell>
        </row>
        <row r="709">
          <cell r="A709">
            <v>708</v>
          </cell>
          <cell r="B709" t="str">
            <v>PLACAS ASTM  A36</v>
          </cell>
          <cell r="C709" t="str">
            <v>PLE 80mm</v>
          </cell>
          <cell r="D709">
            <v>628</v>
          </cell>
          <cell r="E709">
            <v>628</v>
          </cell>
          <cell r="O709" t="str">
            <v>A36</v>
          </cell>
          <cell r="P709" t="str">
            <v>S</v>
          </cell>
        </row>
        <row r="710">
          <cell r="A710">
            <v>709</v>
          </cell>
          <cell r="B710" t="str">
            <v>PLACAS ASTM  A36</v>
          </cell>
          <cell r="C710" t="str">
            <v>PLE 85mm</v>
          </cell>
          <cell r="D710">
            <v>667.25</v>
          </cell>
          <cell r="E710">
            <v>667.25</v>
          </cell>
          <cell r="O710" t="str">
            <v>A36</v>
          </cell>
          <cell r="P710" t="str">
            <v>S</v>
          </cell>
        </row>
        <row r="711">
          <cell r="A711">
            <v>710</v>
          </cell>
          <cell r="B711" t="str">
            <v>PLACAS ASTM  A36</v>
          </cell>
          <cell r="C711" t="str">
            <v>PLE 90mm</v>
          </cell>
          <cell r="D711">
            <v>706.5</v>
          </cell>
          <cell r="E711">
            <v>706.5</v>
          </cell>
          <cell r="O711" t="str">
            <v>A36</v>
          </cell>
          <cell r="P711" t="str">
            <v>S</v>
          </cell>
        </row>
        <row r="712">
          <cell r="A712">
            <v>711</v>
          </cell>
          <cell r="B712" t="str">
            <v>PLACAS ASTM  A36</v>
          </cell>
          <cell r="C712" t="str">
            <v>PLE 95mm</v>
          </cell>
          <cell r="D712">
            <v>745.75</v>
          </cell>
          <cell r="E712">
            <v>745.75</v>
          </cell>
          <cell r="O712" t="str">
            <v>A36</v>
          </cell>
          <cell r="P712" t="str">
            <v>S</v>
          </cell>
        </row>
        <row r="713">
          <cell r="A713">
            <v>712</v>
          </cell>
          <cell r="B713" t="str">
            <v>PLACAS ASTM  A36</v>
          </cell>
          <cell r="C713" t="str">
            <v>PLE 100mm</v>
          </cell>
          <cell r="D713">
            <v>785</v>
          </cell>
          <cell r="E713">
            <v>785</v>
          </cell>
          <cell r="O713" t="str">
            <v>A36</v>
          </cell>
          <cell r="P713" t="str">
            <v>N</v>
          </cell>
        </row>
        <row r="714">
          <cell r="A714">
            <v>713</v>
          </cell>
          <cell r="B714" t="str">
            <v>PLACA GALVANIZADA ASTM A593</v>
          </cell>
          <cell r="C714" t="str">
            <v>PLE 1,1mm Galvanizada</v>
          </cell>
          <cell r="D714">
            <v>8.6349999999999998</v>
          </cell>
          <cell r="E714">
            <v>8.6349999999999998</v>
          </cell>
          <cell r="M714" t="str">
            <v>12.54.52.170.00</v>
          </cell>
          <cell r="O714" t="str">
            <v>A593</v>
          </cell>
          <cell r="P714" t="str">
            <v>S</v>
          </cell>
        </row>
        <row r="715">
          <cell r="A715">
            <v>714</v>
          </cell>
          <cell r="B715" t="str">
            <v>PLACA GALVANIZADA ASTM A593</v>
          </cell>
          <cell r="C715" t="str">
            <v>PLE 1,4mm Galvanizada</v>
          </cell>
          <cell r="D715">
            <v>10.99</v>
          </cell>
          <cell r="E715">
            <v>10.99</v>
          </cell>
          <cell r="M715" t="str">
            <v>12.54.52.190.01</v>
          </cell>
          <cell r="O715" t="str">
            <v>A593</v>
          </cell>
          <cell r="P715" t="str">
            <v>S</v>
          </cell>
        </row>
        <row r="716">
          <cell r="A716">
            <v>715</v>
          </cell>
          <cell r="B716" t="str">
            <v>PLACA CORRUGADA</v>
          </cell>
          <cell r="C716" t="str">
            <v>PLE 2,3 mm corrugada</v>
          </cell>
          <cell r="D716">
            <v>18.055</v>
          </cell>
          <cell r="E716">
            <v>18.055</v>
          </cell>
          <cell r="O716" t="str">
            <v>A36</v>
          </cell>
          <cell r="P716" t="str">
            <v>S</v>
          </cell>
        </row>
        <row r="717">
          <cell r="A717">
            <v>716</v>
          </cell>
          <cell r="B717" t="str">
            <v>PLACA CORRUGADA 1220x2440</v>
          </cell>
          <cell r="C717" t="str">
            <v>PLE 3 mm corrugada</v>
          </cell>
          <cell r="D717">
            <v>25.905000000000001</v>
          </cell>
          <cell r="E717">
            <v>25.905000000000001</v>
          </cell>
          <cell r="M717" t="str">
            <v>12.54.46.270.00</v>
          </cell>
          <cell r="O717" t="str">
            <v>A36</v>
          </cell>
          <cell r="P717" t="str">
            <v>S</v>
          </cell>
        </row>
        <row r="718">
          <cell r="A718">
            <v>717</v>
          </cell>
          <cell r="B718" t="str">
            <v>PLACA CORRUGADA 1220x2440</v>
          </cell>
          <cell r="C718" t="str">
            <v>PLE 6 mm corrugada</v>
          </cell>
          <cell r="D718">
            <v>53.772500000000001</v>
          </cell>
          <cell r="E718">
            <v>53.772500000000001</v>
          </cell>
          <cell r="M718" t="str">
            <v>12.54.46.330.00</v>
          </cell>
          <cell r="O718" t="str">
            <v>A36</v>
          </cell>
          <cell r="P718" t="str">
            <v>S</v>
          </cell>
        </row>
        <row r="719">
          <cell r="A719">
            <v>718</v>
          </cell>
          <cell r="B719" t="str">
            <v>ZADELCA MALLA ELECTROSOLDADA 6 x 2.4 m</v>
          </cell>
          <cell r="C719" t="str">
            <v>Malla antisismica  8 x 15</v>
          </cell>
          <cell r="D719">
            <v>75.84</v>
          </cell>
          <cell r="E719">
            <v>75.84</v>
          </cell>
          <cell r="O719" t="str">
            <v>A36</v>
          </cell>
          <cell r="P719" t="str">
            <v>S</v>
          </cell>
        </row>
        <row r="720">
          <cell r="A720">
            <v>719</v>
          </cell>
          <cell r="B720" t="str">
            <v>ZADELCA MALLA ELECTROSOLDADA 6 x 2.4 m</v>
          </cell>
          <cell r="C720" t="str">
            <v>Malla antisismica 8 x 20</v>
          </cell>
          <cell r="D720">
            <v>56.88</v>
          </cell>
          <cell r="E720">
            <v>56.88</v>
          </cell>
          <cell r="O720" t="str">
            <v>A36</v>
          </cell>
          <cell r="P720" t="str">
            <v>S</v>
          </cell>
        </row>
        <row r="721">
          <cell r="A721">
            <v>720</v>
          </cell>
          <cell r="B721" t="str">
            <v>ZADELCA MALLA ELECTROSOLDADA 6 x 2.4 m</v>
          </cell>
          <cell r="C721" t="str">
            <v>Malla antisismica 8 x 50</v>
          </cell>
          <cell r="D721">
            <v>24.17</v>
          </cell>
          <cell r="E721">
            <v>24.17</v>
          </cell>
          <cell r="O721" t="str">
            <v>A36</v>
          </cell>
          <cell r="P721" t="str">
            <v>N</v>
          </cell>
        </row>
        <row r="722">
          <cell r="A722">
            <v>721</v>
          </cell>
          <cell r="B722" t="str">
            <v>ZADELCA MALLA ELECTROSOLDADA 6 x 2.4 m</v>
          </cell>
          <cell r="C722" t="str">
            <v>Malla antisismica 10 x15</v>
          </cell>
          <cell r="D722">
            <v>118.46</v>
          </cell>
          <cell r="E722">
            <v>118.46</v>
          </cell>
          <cell r="M722" t="str">
            <v>12.42.20.030.00</v>
          </cell>
          <cell r="O722" t="str">
            <v>A36</v>
          </cell>
          <cell r="P722" t="str">
            <v>S</v>
          </cell>
        </row>
        <row r="723">
          <cell r="A723">
            <v>722</v>
          </cell>
          <cell r="B723" t="str">
            <v>ZADELCA MALLA ELECTROSOLDADA 6 x 2.4 m</v>
          </cell>
          <cell r="C723" t="str">
            <v>Malla antisismica 10 x20</v>
          </cell>
          <cell r="D723">
            <v>88.85</v>
          </cell>
          <cell r="E723">
            <v>88.85</v>
          </cell>
          <cell r="O723" t="str">
            <v>A36</v>
          </cell>
          <cell r="P723" t="str">
            <v>S</v>
          </cell>
        </row>
        <row r="724">
          <cell r="A724">
            <v>723</v>
          </cell>
          <cell r="B724" t="str">
            <v>ZADELCA MALLA ELECTROSOLDADA 6 x 2.4 m</v>
          </cell>
          <cell r="C724" t="str">
            <v>Malla antisismica 10 x 50</v>
          </cell>
          <cell r="D724">
            <v>37.76</v>
          </cell>
          <cell r="E724">
            <v>37.76</v>
          </cell>
          <cell r="O724" t="str">
            <v>A36</v>
          </cell>
          <cell r="P724" t="str">
            <v>N</v>
          </cell>
        </row>
        <row r="725">
          <cell r="A725">
            <v>724</v>
          </cell>
          <cell r="B725" t="str">
            <v>ZADELCA MALLA ELECTROSOLDADA 6 x 2.4 m</v>
          </cell>
          <cell r="C725" t="str">
            <v>Malla antisismica 12 x 20</v>
          </cell>
          <cell r="D725">
            <v>127.87</v>
          </cell>
          <cell r="E725">
            <v>127.87</v>
          </cell>
          <cell r="O725" t="str">
            <v>A36</v>
          </cell>
          <cell r="P725" t="str">
            <v>N</v>
          </cell>
        </row>
        <row r="726">
          <cell r="A726">
            <v>725</v>
          </cell>
          <cell r="B726" t="str">
            <v>ZADELCA MALLA ELECTROSOLDADA 6 x 2.4 m</v>
          </cell>
          <cell r="C726" t="str">
            <v>Malla antisismica 12 x 50</v>
          </cell>
          <cell r="D726">
            <v>54.35</v>
          </cell>
          <cell r="E726">
            <v>54.35</v>
          </cell>
          <cell r="O726" t="str">
            <v>A36</v>
          </cell>
          <cell r="P726" t="str">
            <v>N</v>
          </cell>
        </row>
        <row r="727">
          <cell r="A727">
            <v>726</v>
          </cell>
          <cell r="B727" t="str">
            <v>MALLA EXPANDIDA PARA TORRES</v>
          </cell>
          <cell r="C727" t="str">
            <v>M EXP. INT 76 * 6mm.</v>
          </cell>
          <cell r="D727">
            <v>8.23</v>
          </cell>
          <cell r="E727">
            <v>8.23</v>
          </cell>
          <cell r="M727" t="str">
            <v>12.42.30.020.00</v>
          </cell>
          <cell r="O727" t="str">
            <v>A36</v>
          </cell>
          <cell r="P727" t="str">
            <v>S</v>
          </cell>
        </row>
        <row r="728">
          <cell r="A728">
            <v>727</v>
          </cell>
          <cell r="B728" t="str">
            <v>CUBIERTA ASTM A792</v>
          </cell>
          <cell r="C728" t="str">
            <v>Panel Prepintado Verde 
Master 1000 o Similar e= 0.4 mm</v>
          </cell>
          <cell r="D728">
            <v>3.72</v>
          </cell>
          <cell r="E728">
            <v>3.72</v>
          </cell>
          <cell r="F728">
            <v>1000</v>
          </cell>
          <cell r="G728" t="str">
            <v>?</v>
          </cell>
          <cell r="H728">
            <v>0.4</v>
          </cell>
          <cell r="O728" t="str">
            <v>A792</v>
          </cell>
          <cell r="P728" t="str">
            <v>S</v>
          </cell>
        </row>
        <row r="729">
          <cell r="A729">
            <v>728</v>
          </cell>
          <cell r="B729" t="str">
            <v>CUBIERTA ASTM A792</v>
          </cell>
          <cell r="C729" t="str">
            <v>Panel Prepintado Verde 
Master 1000 o Similar e= 0.45mm</v>
          </cell>
          <cell r="D729">
            <v>4.18</v>
          </cell>
          <cell r="E729">
            <v>4.18</v>
          </cell>
          <cell r="F729">
            <v>1000</v>
          </cell>
          <cell r="G729" t="str">
            <v>?</v>
          </cell>
          <cell r="H729">
            <v>0.45</v>
          </cell>
          <cell r="O729" t="str">
            <v>A792</v>
          </cell>
          <cell r="P729" t="str">
            <v>S</v>
          </cell>
        </row>
        <row r="730">
          <cell r="A730">
            <v>729</v>
          </cell>
          <cell r="B730" t="str">
            <v>CUBIERTA ASTM A792</v>
          </cell>
          <cell r="C730" t="str">
            <v>Panel Prepintado Verde 
Master 1000 o Similar e= 0.5 mm</v>
          </cell>
          <cell r="D730">
            <v>4.6500000000000004</v>
          </cell>
          <cell r="E730">
            <v>4.6500000000000004</v>
          </cell>
          <cell r="F730">
            <v>1000</v>
          </cell>
          <cell r="G730" t="str">
            <v>?</v>
          </cell>
          <cell r="H730">
            <v>0.5</v>
          </cell>
          <cell r="O730" t="str">
            <v>A792</v>
          </cell>
          <cell r="P730" t="str">
            <v>S</v>
          </cell>
        </row>
        <row r="731">
          <cell r="A731">
            <v>730</v>
          </cell>
          <cell r="B731" t="str">
            <v>CUBIERTA ASTM A792</v>
          </cell>
          <cell r="C731" t="str">
            <v>Panel Prepintado Verde 
AR2000 e= 0.4 mm</v>
          </cell>
          <cell r="D731">
            <v>3.6</v>
          </cell>
          <cell r="E731">
            <v>3.6</v>
          </cell>
          <cell r="F731">
            <v>1040</v>
          </cell>
          <cell r="G731" t="str">
            <v>?</v>
          </cell>
          <cell r="H731">
            <v>0.4</v>
          </cell>
          <cell r="O731" t="str">
            <v>A792</v>
          </cell>
          <cell r="P731" t="str">
            <v>S</v>
          </cell>
        </row>
        <row r="732">
          <cell r="A732">
            <v>731</v>
          </cell>
          <cell r="B732" t="str">
            <v>CUBIERTA ASTM A792</v>
          </cell>
          <cell r="C732" t="str">
            <v>Panel Prepintado Verde 
Master 1000 o Similar e= 0.6 mm</v>
          </cell>
          <cell r="D732">
            <v>5.58</v>
          </cell>
          <cell r="E732">
            <v>5.58</v>
          </cell>
          <cell r="F732">
            <v>1000</v>
          </cell>
          <cell r="G732" t="str">
            <v>?</v>
          </cell>
          <cell r="H732">
            <v>0.6</v>
          </cell>
          <cell r="O732" t="str">
            <v>A792</v>
          </cell>
          <cell r="P732" t="str">
            <v>S</v>
          </cell>
        </row>
        <row r="733">
          <cell r="A733">
            <v>732</v>
          </cell>
          <cell r="B733" t="str">
            <v>CUBIERTA INYECTADA</v>
          </cell>
          <cell r="C733" t="str">
            <v>Panel Master Compuesto tipo sanduche, pre-pintado verde e:0.4 mm inyectado Poliurethane o similar, e= 40 mm,
Master 1000 o Similar e= 0.6 mm</v>
          </cell>
          <cell r="D733">
            <v>9.8000000000000007</v>
          </cell>
          <cell r="E733">
            <v>9.8000000000000007</v>
          </cell>
          <cell r="F733">
            <v>1000</v>
          </cell>
          <cell r="G733" t="str">
            <v>?</v>
          </cell>
          <cell r="H733">
            <v>40</v>
          </cell>
          <cell r="O733" t="str">
            <v>A792</v>
          </cell>
          <cell r="P733" t="str">
            <v>S</v>
          </cell>
        </row>
        <row r="734">
          <cell r="A734">
            <v>733</v>
          </cell>
          <cell r="B734" t="str">
            <v>CUBIERTA INYECTADA</v>
          </cell>
          <cell r="C734" t="str">
            <v>Panel Master Compuesto tipo sanduche, pre-pintado verde e:0.4 mm inyectado Poliurethane o similar, e= 50 mm,
Master 1000 o Similar e= 0.6 mm</v>
          </cell>
          <cell r="D734">
            <v>10.18</v>
          </cell>
          <cell r="E734">
            <v>10.18</v>
          </cell>
          <cell r="F734">
            <v>1000</v>
          </cell>
          <cell r="G734" t="str">
            <v>?</v>
          </cell>
          <cell r="H734">
            <v>50</v>
          </cell>
          <cell r="O734" t="str">
            <v>A792</v>
          </cell>
          <cell r="P734" t="str">
            <v>S</v>
          </cell>
        </row>
        <row r="735">
          <cell r="A735">
            <v>734</v>
          </cell>
          <cell r="B735" t="str">
            <v>CUBIERTA INYECTADA</v>
          </cell>
          <cell r="C735" t="str">
            <v>Panel Master Compuesto tipo sanduche, pre-pintado verde e:0.4 mm inyectado Poliurethane o similar, e= 60 mm,
Master 1000 o Similar e= 0.6 mm</v>
          </cell>
          <cell r="D735">
            <v>10.56</v>
          </cell>
          <cell r="E735">
            <v>10.56</v>
          </cell>
          <cell r="F735">
            <v>1000</v>
          </cell>
          <cell r="G735" t="str">
            <v>?</v>
          </cell>
          <cell r="H735">
            <v>60</v>
          </cell>
          <cell r="O735" t="str">
            <v>A792</v>
          </cell>
          <cell r="P735" t="str">
            <v>S</v>
          </cell>
        </row>
        <row r="736">
          <cell r="A736">
            <v>735</v>
          </cell>
          <cell r="B736" t="str">
            <v>CUMBRERO</v>
          </cell>
          <cell r="C736" t="str">
            <v>Galvalumen Prepintado Color Verde Forestal e:0.40 mm</v>
          </cell>
          <cell r="D736">
            <v>1.8839999999999999</v>
          </cell>
          <cell r="E736">
            <v>1.8839999999999999</v>
          </cell>
          <cell r="H736">
            <v>0.4</v>
          </cell>
          <cell r="O736" t="str">
            <v>A792</v>
          </cell>
          <cell r="P736" t="str">
            <v>S</v>
          </cell>
        </row>
        <row r="737">
          <cell r="A737">
            <v>736</v>
          </cell>
          <cell r="B737" t="str">
            <v>CANALES 1220x2440</v>
          </cell>
          <cell r="C737" t="str">
            <v>Tool galv. e= 0.9 mm</v>
          </cell>
          <cell r="D737">
            <v>7.0650000000000004</v>
          </cell>
          <cell r="E737">
            <v>7.0650000000000004</v>
          </cell>
          <cell r="H737">
            <v>0.9</v>
          </cell>
          <cell r="M737" t="str">
            <v>12.54.52.150.00</v>
          </cell>
          <cell r="O737" t="str">
            <v>A36</v>
          </cell>
          <cell r="P737" t="str">
            <v>S</v>
          </cell>
        </row>
        <row r="738">
          <cell r="A738">
            <v>737</v>
          </cell>
          <cell r="B738" t="str">
            <v>CANALES 1220x2440</v>
          </cell>
          <cell r="C738" t="str">
            <v>Tool galv. e= 0.7 mm</v>
          </cell>
          <cell r="D738">
            <v>5.4950000000000001</v>
          </cell>
          <cell r="E738">
            <v>5.4950000000000001</v>
          </cell>
          <cell r="H738">
            <v>0.7</v>
          </cell>
          <cell r="M738" t="str">
            <v>12.54.52.100.00</v>
          </cell>
          <cell r="O738" t="str">
            <v>A36</v>
          </cell>
          <cell r="P738" t="str">
            <v>S</v>
          </cell>
        </row>
        <row r="739">
          <cell r="A739">
            <v>738</v>
          </cell>
          <cell r="B739" t="str">
            <v>BAJANTES DE TOOL</v>
          </cell>
          <cell r="C739" t="str">
            <v>Tool galv. e= 0.5 mm</v>
          </cell>
          <cell r="D739">
            <v>3.9249999999999998</v>
          </cell>
          <cell r="E739">
            <v>3.9249999999999998</v>
          </cell>
          <cell r="H739">
            <v>0.5</v>
          </cell>
          <cell r="O739" t="str">
            <v>A36</v>
          </cell>
          <cell r="P739" t="str">
            <v>S</v>
          </cell>
        </row>
        <row r="740">
          <cell r="A740">
            <v>739</v>
          </cell>
          <cell r="B740" t="str">
            <v>BAJANTES DE TOOL</v>
          </cell>
          <cell r="C740" t="str">
            <v>Tool galv. e= 2 mm</v>
          </cell>
          <cell r="D740">
            <v>15.7</v>
          </cell>
          <cell r="E740">
            <v>15.7</v>
          </cell>
          <cell r="H740">
            <v>2</v>
          </cell>
          <cell r="O740" t="str">
            <v>A36</v>
          </cell>
          <cell r="P740" t="str">
            <v>S</v>
          </cell>
        </row>
        <row r="741">
          <cell r="A741">
            <v>740</v>
          </cell>
          <cell r="B741" t="str">
            <v>BAJANTES DE PVC.</v>
          </cell>
          <cell r="C741" t="str">
            <v>TUBO PVC 4"</v>
          </cell>
          <cell r="D741">
            <v>3.8439999999999999</v>
          </cell>
          <cell r="E741">
            <v>3.8439999999999999</v>
          </cell>
          <cell r="M741" t="str">
            <v>15.02.55.110.00</v>
          </cell>
          <cell r="O741" t="str">
            <v>PVC</v>
          </cell>
          <cell r="P741" t="str">
            <v>S</v>
          </cell>
        </row>
        <row r="742">
          <cell r="A742">
            <v>741</v>
          </cell>
          <cell r="B742" t="str">
            <v>CODOS DE 90º PVC</v>
          </cell>
          <cell r="C742" t="str">
            <v>CODOS DE 90º PVC</v>
          </cell>
          <cell r="D742">
            <v>0.33300000000000002</v>
          </cell>
          <cell r="E742">
            <v>0.33300000000000002</v>
          </cell>
          <cell r="M742" t="str">
            <v>07.08.58.110.00</v>
          </cell>
          <cell r="O742" t="str">
            <v>PVC</v>
          </cell>
          <cell r="P742" t="str">
            <v>S</v>
          </cell>
        </row>
        <row r="743">
          <cell r="A743">
            <v>742</v>
          </cell>
          <cell r="B743" t="str">
            <v>CODOS DE 45º PVC</v>
          </cell>
          <cell r="C743" t="str">
            <v>CODOS DE 45º PVC</v>
          </cell>
          <cell r="D743">
            <v>0.24</v>
          </cell>
          <cell r="E743">
            <v>0.24</v>
          </cell>
          <cell r="M743" t="str">
            <v>07.08.56.110.00</v>
          </cell>
          <cell r="O743" t="str">
            <v>PVC</v>
          </cell>
          <cell r="P743" t="str">
            <v>S</v>
          </cell>
        </row>
        <row r="744">
          <cell r="A744">
            <v>743</v>
          </cell>
          <cell r="B744" t="str">
            <v>CODOS DE SCH 40</v>
          </cell>
          <cell r="C744" t="str">
            <v>CODO DE 90º SCH40 1-1/4"</v>
          </cell>
          <cell r="D744">
            <v>4.55</v>
          </cell>
          <cell r="E744">
            <v>4.55</v>
          </cell>
          <cell r="F744">
            <v>42.2</v>
          </cell>
          <cell r="H744">
            <v>2.6</v>
          </cell>
          <cell r="O744" t="str">
            <v>A53</v>
          </cell>
        </row>
        <row r="745">
          <cell r="A745">
            <v>744</v>
          </cell>
          <cell r="B745" t="str">
            <v>CODOS DE SCH 40</v>
          </cell>
          <cell r="C745" t="str">
            <v>CODO DE 90º SCH40 1-1/2"</v>
          </cell>
          <cell r="D745">
            <v>4.7</v>
          </cell>
          <cell r="E745">
            <v>4.7</v>
          </cell>
          <cell r="F745">
            <v>48.3</v>
          </cell>
          <cell r="H745">
            <v>2.9</v>
          </cell>
          <cell r="O745" t="str">
            <v>A53</v>
          </cell>
        </row>
        <row r="746">
          <cell r="A746">
            <v>745</v>
          </cell>
          <cell r="B746" t="str">
            <v>PERNOS ASTM</v>
          </cell>
          <cell r="C746" t="str">
            <v>PERNO 1/2" x 1"</v>
          </cell>
          <cell r="D746">
            <v>3.7699999999999997E-2</v>
          </cell>
          <cell r="E746">
            <v>3.7699999999999997E-2</v>
          </cell>
          <cell r="M746" t="str">
            <v>05.54.82.705.0</v>
          </cell>
          <cell r="P746" t="str">
            <v>N</v>
          </cell>
        </row>
        <row r="747">
          <cell r="A747">
            <v>746</v>
          </cell>
          <cell r="B747" t="str">
            <v>PERNOS ASTM</v>
          </cell>
          <cell r="C747" t="str">
            <v>PERNO 1/2" x 1 1/4"</v>
          </cell>
          <cell r="D747">
            <v>4.3400000000000001E-2</v>
          </cell>
          <cell r="E747">
            <v>4.3400000000000001E-2</v>
          </cell>
          <cell r="M747" t="str">
            <v>05.54.82.707.00</v>
          </cell>
          <cell r="P747" t="str">
            <v>N</v>
          </cell>
        </row>
        <row r="748">
          <cell r="A748">
            <v>747</v>
          </cell>
          <cell r="B748" t="str">
            <v>PERNOS ASTM</v>
          </cell>
          <cell r="C748" t="str">
            <v>PERNO 1/2" x 1 1/2"</v>
          </cell>
          <cell r="D748">
            <v>4.9799999999999997E-2</v>
          </cell>
          <cell r="E748">
            <v>4.9799999999999997E-2</v>
          </cell>
          <cell r="M748" t="str">
            <v>05.54.82.709.00</v>
          </cell>
          <cell r="P748" t="str">
            <v>S</v>
          </cell>
        </row>
        <row r="749">
          <cell r="A749">
            <v>748</v>
          </cell>
          <cell r="B749" t="str">
            <v>PERNOS ASTM</v>
          </cell>
          <cell r="C749" t="str">
            <v>PERNO 1/2" x 1 3/4"</v>
          </cell>
          <cell r="D749">
            <v>5.5E-2</v>
          </cell>
          <cell r="E749">
            <v>5.5E-2</v>
          </cell>
          <cell r="M749" t="str">
            <v>05.54.82.711.00</v>
          </cell>
          <cell r="P749" t="str">
            <v>S</v>
          </cell>
        </row>
        <row r="750">
          <cell r="A750">
            <v>749</v>
          </cell>
          <cell r="B750" t="str">
            <v>PERNOS ASTM</v>
          </cell>
          <cell r="C750" t="str">
            <v>PERNO 1/2" x 2"</v>
          </cell>
          <cell r="D750">
            <v>6.2600000000000003E-2</v>
          </cell>
          <cell r="E750">
            <v>6.2600000000000003E-2</v>
          </cell>
          <cell r="M750" t="str">
            <v>05.54.82.713.00</v>
          </cell>
          <cell r="P750" t="str">
            <v>S</v>
          </cell>
        </row>
        <row r="751">
          <cell r="A751">
            <v>750</v>
          </cell>
          <cell r="B751" t="str">
            <v>PERNOS ASTM</v>
          </cell>
          <cell r="C751" t="str">
            <v>PERNO 1/2" x 2 1/4"</v>
          </cell>
          <cell r="D751">
            <v>7.5300000000000006E-2</v>
          </cell>
          <cell r="E751">
            <v>7.5300000000000006E-2</v>
          </cell>
          <cell r="M751" t="str">
            <v>05.54.82.714.00</v>
          </cell>
          <cell r="P751" t="str">
            <v>S</v>
          </cell>
        </row>
        <row r="752">
          <cell r="A752">
            <v>751</v>
          </cell>
          <cell r="B752" t="str">
            <v>PERNOS ASTM</v>
          </cell>
          <cell r="C752" t="str">
            <v>PERNO 1/2" x 2 1/2"</v>
          </cell>
          <cell r="D752">
            <v>0.08</v>
          </cell>
          <cell r="E752">
            <v>0.08</v>
          </cell>
          <cell r="M752" t="str">
            <v>05.54.82.715.00</v>
          </cell>
          <cell r="P752" t="str">
            <v>S</v>
          </cell>
        </row>
        <row r="753">
          <cell r="A753">
            <v>752</v>
          </cell>
          <cell r="B753" t="str">
            <v>PERNOS ASTM</v>
          </cell>
          <cell r="C753" t="str">
            <v>PERNO 1/2" x 2 3/4"</v>
          </cell>
          <cell r="D753">
            <v>8.5000000000000006E-2</v>
          </cell>
          <cell r="E753">
            <v>8.5000000000000006E-2</v>
          </cell>
          <cell r="M753" t="str">
            <v>05.54.82.716.01</v>
          </cell>
          <cell r="P753" t="str">
            <v>S</v>
          </cell>
        </row>
        <row r="754">
          <cell r="A754">
            <v>753</v>
          </cell>
          <cell r="B754" t="str">
            <v>PERNOS ASTM</v>
          </cell>
          <cell r="C754" t="str">
            <v>PERNO 1/2" x 3"</v>
          </cell>
          <cell r="D754">
            <v>8.7599999999999997E-2</v>
          </cell>
          <cell r="E754">
            <v>8.7599999999999997E-2</v>
          </cell>
          <cell r="M754" t="str">
            <v>05.54.82.717.0</v>
          </cell>
          <cell r="P754" t="str">
            <v>S</v>
          </cell>
        </row>
        <row r="755">
          <cell r="A755">
            <v>754</v>
          </cell>
          <cell r="B755" t="str">
            <v>PERNOS ASTM</v>
          </cell>
          <cell r="C755" t="str">
            <v>PERNO 1/2" x 3 1/2"</v>
          </cell>
          <cell r="D755">
            <v>0.10059999999999999</v>
          </cell>
          <cell r="E755">
            <v>0.10059999999999999</v>
          </cell>
          <cell r="M755" t="str">
            <v>05.54.82.719.0</v>
          </cell>
          <cell r="P755" t="str">
            <v>S</v>
          </cell>
        </row>
        <row r="756">
          <cell r="A756">
            <v>755</v>
          </cell>
          <cell r="B756" t="str">
            <v>PERNOS ASTM</v>
          </cell>
          <cell r="C756" t="str">
            <v>PERNO 1/2" x 4"</v>
          </cell>
          <cell r="D756">
            <v>0.113</v>
          </cell>
          <cell r="E756">
            <v>0.113</v>
          </cell>
          <cell r="M756" t="str">
            <v>05.54.82.722.00</v>
          </cell>
          <cell r="P756" t="str">
            <v>S</v>
          </cell>
        </row>
        <row r="757">
          <cell r="A757">
            <v>756</v>
          </cell>
          <cell r="B757" t="str">
            <v>PERNOS ASTM</v>
          </cell>
          <cell r="C757" t="str">
            <v>PERNO 1/2" x 4 1/2"</v>
          </cell>
          <cell r="D757">
            <v>0.125</v>
          </cell>
          <cell r="E757">
            <v>0.125</v>
          </cell>
          <cell r="P757" t="str">
            <v>S</v>
          </cell>
        </row>
        <row r="758">
          <cell r="A758">
            <v>757</v>
          </cell>
          <cell r="B758" t="str">
            <v>PERNOS ASTM</v>
          </cell>
          <cell r="C758" t="str">
            <v>PERNO 1/2" x 5"</v>
          </cell>
          <cell r="D758">
            <v>0.13600000000000001</v>
          </cell>
          <cell r="E758">
            <v>0.13600000000000001</v>
          </cell>
          <cell r="M758" t="str">
            <v>05.54.82.726.0</v>
          </cell>
          <cell r="P758" t="str">
            <v>S</v>
          </cell>
        </row>
        <row r="759">
          <cell r="A759">
            <v>758</v>
          </cell>
          <cell r="B759" t="str">
            <v>PERNOS ASTM</v>
          </cell>
          <cell r="C759" t="str">
            <v>PERNO 1/2" x 5 1/2"</v>
          </cell>
          <cell r="D759">
            <v>0.1507</v>
          </cell>
          <cell r="E759">
            <v>0.1507</v>
          </cell>
          <cell r="P759" t="str">
            <v>N</v>
          </cell>
        </row>
        <row r="760">
          <cell r="A760">
            <v>759</v>
          </cell>
          <cell r="B760" t="str">
            <v>PERNOS ASTM</v>
          </cell>
          <cell r="C760" t="str">
            <v>PERNO 1/2" x 6"</v>
          </cell>
          <cell r="D760">
            <v>0.16270000000000001</v>
          </cell>
          <cell r="E760">
            <v>0.16270000000000001</v>
          </cell>
          <cell r="P760" t="str">
            <v>S</v>
          </cell>
        </row>
        <row r="761">
          <cell r="A761">
            <v>760</v>
          </cell>
          <cell r="B761" t="str">
            <v>PERNOS ASTM</v>
          </cell>
          <cell r="C761" t="str">
            <v>PERNO 1/2" x 7"</v>
          </cell>
          <cell r="D761">
            <v>0.18479999999999999</v>
          </cell>
          <cell r="E761">
            <v>0.18479999999999999</v>
          </cell>
          <cell r="P761" t="str">
            <v>N</v>
          </cell>
        </row>
        <row r="762">
          <cell r="A762">
            <v>761</v>
          </cell>
          <cell r="B762" t="str">
            <v>PERNOS ASTM</v>
          </cell>
          <cell r="C762" t="str">
            <v>PERNO 1/2" x 8"</v>
          </cell>
          <cell r="D762">
            <v>0.21</v>
          </cell>
          <cell r="E762">
            <v>0.21</v>
          </cell>
          <cell r="P762" t="str">
            <v>S</v>
          </cell>
        </row>
        <row r="763">
          <cell r="A763">
            <v>762</v>
          </cell>
          <cell r="B763" t="str">
            <v>PERNOS ASTM</v>
          </cell>
          <cell r="C763" t="str">
            <v>PERNO 1/2" x 9"</v>
          </cell>
          <cell r="D763">
            <v>0.25</v>
          </cell>
          <cell r="E763">
            <v>0.25</v>
          </cell>
          <cell r="P763" t="str">
            <v>N</v>
          </cell>
        </row>
        <row r="764">
          <cell r="A764">
            <v>763</v>
          </cell>
          <cell r="B764" t="str">
            <v>PERNOS ASTM</v>
          </cell>
          <cell r="C764" t="str">
            <v>PERNO 1/2" x 10"</v>
          </cell>
          <cell r="D764">
            <v>0.27529999999999999</v>
          </cell>
          <cell r="E764">
            <v>0.27529999999999999</v>
          </cell>
          <cell r="P764" t="str">
            <v>N</v>
          </cell>
        </row>
        <row r="765">
          <cell r="A765">
            <v>764</v>
          </cell>
          <cell r="B765" t="str">
            <v>PERNOS ASTM</v>
          </cell>
          <cell r="C765" t="str">
            <v>PERNO 9/16" x 1"</v>
          </cell>
          <cell r="D765">
            <v>5.1900000000000002E-2</v>
          </cell>
          <cell r="E765">
            <v>5.1900000000000002E-2</v>
          </cell>
          <cell r="P765" t="str">
            <v>N</v>
          </cell>
        </row>
        <row r="766">
          <cell r="A766">
            <v>765</v>
          </cell>
          <cell r="B766" t="str">
            <v>PERNOS ASTM</v>
          </cell>
          <cell r="C766" t="str">
            <v>PERNO 9/16" x 1 1/4"</v>
          </cell>
          <cell r="D766">
            <v>5.8799999999999998E-2</v>
          </cell>
          <cell r="E766">
            <v>5.8799999999999998E-2</v>
          </cell>
          <cell r="P766" t="str">
            <v>N</v>
          </cell>
        </row>
        <row r="767">
          <cell r="A767">
            <v>766</v>
          </cell>
          <cell r="B767" t="str">
            <v>PERNOS ASTM</v>
          </cell>
          <cell r="C767" t="str">
            <v>PERNO 9/16" x 1 1/2"</v>
          </cell>
          <cell r="D767">
            <v>6.5299999999999997E-2</v>
          </cell>
          <cell r="E767">
            <v>6.5299999999999997E-2</v>
          </cell>
          <cell r="P767" t="str">
            <v>N</v>
          </cell>
        </row>
        <row r="768">
          <cell r="A768">
            <v>767</v>
          </cell>
          <cell r="B768" t="str">
            <v>PERNOS ASTM</v>
          </cell>
          <cell r="C768" t="str">
            <v>PERNO 9/16" x 2"</v>
          </cell>
          <cell r="D768">
            <v>7.9200000000000007E-2</v>
          </cell>
          <cell r="E768">
            <v>7.9200000000000007E-2</v>
          </cell>
          <cell r="P768" t="str">
            <v>N</v>
          </cell>
        </row>
        <row r="769">
          <cell r="A769">
            <v>768</v>
          </cell>
          <cell r="B769" t="str">
            <v>PERNOS ASTM</v>
          </cell>
          <cell r="C769" t="str">
            <v>PERNO 9/16" x 2 1/2"</v>
          </cell>
          <cell r="D769">
            <v>9.6000000000000002E-2</v>
          </cell>
          <cell r="E769">
            <v>9.6000000000000002E-2</v>
          </cell>
          <cell r="P769" t="str">
            <v>N</v>
          </cell>
        </row>
        <row r="770">
          <cell r="A770">
            <v>769</v>
          </cell>
          <cell r="B770" t="str">
            <v>PERNOS ASTM</v>
          </cell>
          <cell r="C770" t="str">
            <v>PERNO 9/16" x 3"</v>
          </cell>
          <cell r="D770">
            <v>0.1095</v>
          </cell>
          <cell r="E770">
            <v>0.1095</v>
          </cell>
          <cell r="P770" t="str">
            <v>N</v>
          </cell>
        </row>
        <row r="771">
          <cell r="A771">
            <v>770</v>
          </cell>
          <cell r="B771" t="str">
            <v>PERNOS ASTM</v>
          </cell>
          <cell r="C771" t="str">
            <v>PERNO 9/16" x 3 1/2"</v>
          </cell>
          <cell r="D771">
            <v>0.1258</v>
          </cell>
          <cell r="E771">
            <v>0.1258</v>
          </cell>
          <cell r="P771" t="str">
            <v>N</v>
          </cell>
        </row>
        <row r="772">
          <cell r="A772">
            <v>771</v>
          </cell>
          <cell r="B772" t="str">
            <v>PERNOS ASTM</v>
          </cell>
          <cell r="C772" t="str">
            <v>PERNO 9/16" x 4"</v>
          </cell>
          <cell r="D772">
            <v>0.1411</v>
          </cell>
          <cell r="E772">
            <v>0.1411</v>
          </cell>
          <cell r="P772" t="str">
            <v>N</v>
          </cell>
        </row>
        <row r="773">
          <cell r="A773">
            <v>772</v>
          </cell>
          <cell r="B773" t="str">
            <v>PERNOS ASTM</v>
          </cell>
          <cell r="C773" t="str">
            <v>PERNO 9/16" x 4 1/2"</v>
          </cell>
          <cell r="D773">
            <v>0.1593</v>
          </cell>
          <cell r="E773">
            <v>0.1593</v>
          </cell>
          <cell r="P773" t="str">
            <v>N</v>
          </cell>
        </row>
        <row r="774">
          <cell r="A774">
            <v>773</v>
          </cell>
          <cell r="B774" t="str">
            <v>PERNOS ASTM</v>
          </cell>
          <cell r="C774" t="str">
            <v>PERNO 9/16" x 5"</v>
          </cell>
          <cell r="D774">
            <v>0.17199999999999999</v>
          </cell>
          <cell r="E774">
            <v>0.17199999999999999</v>
          </cell>
          <cell r="P774" t="str">
            <v>N</v>
          </cell>
        </row>
        <row r="775">
          <cell r="A775">
            <v>774</v>
          </cell>
          <cell r="B775" t="str">
            <v>PERNOS ASTM</v>
          </cell>
          <cell r="C775" t="str">
            <v>PERNO 9/16" x 5 1/2"</v>
          </cell>
          <cell r="D775">
            <v>0.18679999999999999</v>
          </cell>
          <cell r="E775">
            <v>0.18679999999999999</v>
          </cell>
          <cell r="P775" t="str">
            <v>N</v>
          </cell>
        </row>
        <row r="776">
          <cell r="A776">
            <v>775</v>
          </cell>
          <cell r="B776" t="str">
            <v>PERNOS ASTM</v>
          </cell>
          <cell r="C776" t="str">
            <v>PERNO 9/16" x 6"</v>
          </cell>
          <cell r="D776">
            <v>0.20399999999999999</v>
          </cell>
          <cell r="E776">
            <v>0.20399999999999999</v>
          </cell>
          <cell r="P776" t="str">
            <v>S</v>
          </cell>
        </row>
        <row r="777">
          <cell r="A777">
            <v>776</v>
          </cell>
          <cell r="B777" t="str">
            <v>PERNOS ASTM</v>
          </cell>
          <cell r="C777" t="str">
            <v>PERNO 9/16" x 7"</v>
          </cell>
          <cell r="D777">
            <v>0.23300000000000001</v>
          </cell>
          <cell r="E777">
            <v>0.23300000000000001</v>
          </cell>
          <cell r="P777" t="str">
            <v>S</v>
          </cell>
        </row>
        <row r="778">
          <cell r="A778">
            <v>777</v>
          </cell>
          <cell r="B778" t="str">
            <v>PERNOS ASTM</v>
          </cell>
          <cell r="C778" t="str">
            <v>PERNO 9/16" x 8"</v>
          </cell>
          <cell r="D778">
            <v>0.26329999999999998</v>
          </cell>
          <cell r="E778">
            <v>0.26329999999999998</v>
          </cell>
          <cell r="P778" t="str">
            <v>S</v>
          </cell>
        </row>
        <row r="779">
          <cell r="A779">
            <v>778</v>
          </cell>
          <cell r="B779" t="str">
            <v>PERNOS ASTM</v>
          </cell>
          <cell r="C779" t="str">
            <v>PERNO 9/16" x 9"</v>
          </cell>
          <cell r="D779">
            <v>0.29399999999999998</v>
          </cell>
          <cell r="E779">
            <v>0.29399999999999998</v>
          </cell>
          <cell r="P779" t="str">
            <v>S</v>
          </cell>
        </row>
        <row r="780">
          <cell r="A780">
            <v>779</v>
          </cell>
          <cell r="B780" t="str">
            <v>PERNOS ASTM</v>
          </cell>
          <cell r="C780" t="str">
            <v>PERNO 9/16" x 10"</v>
          </cell>
          <cell r="D780">
            <v>0.32469999999999999</v>
          </cell>
          <cell r="E780">
            <v>0.32469999999999999</v>
          </cell>
          <cell r="P780" t="str">
            <v>S</v>
          </cell>
        </row>
        <row r="781">
          <cell r="A781">
            <v>780</v>
          </cell>
          <cell r="B781" t="str">
            <v>PERNOS ASTM</v>
          </cell>
          <cell r="C781" t="str">
            <v>PERNO 5/8" x 1"</v>
          </cell>
          <cell r="D781">
            <v>6.83E-2</v>
          </cell>
          <cell r="E781">
            <v>6.83E-2</v>
          </cell>
          <cell r="P781" t="str">
            <v>N</v>
          </cell>
        </row>
        <row r="782">
          <cell r="A782">
            <v>781</v>
          </cell>
          <cell r="B782" t="str">
            <v>PERNOS ASTM</v>
          </cell>
          <cell r="C782" t="str">
            <v>PERNO 5/8" x 1 1/4"</v>
          </cell>
          <cell r="D782">
            <v>7.8E-2</v>
          </cell>
          <cell r="E782">
            <v>7.8E-2</v>
          </cell>
          <cell r="M782" t="str">
            <v>05.54.82.898.00</v>
          </cell>
          <cell r="P782" t="str">
            <v>N</v>
          </cell>
        </row>
        <row r="783">
          <cell r="A783">
            <v>782</v>
          </cell>
          <cell r="B783" t="str">
            <v>PERNOS ASTM</v>
          </cell>
          <cell r="C783" t="str">
            <v>PERNO 5/8" x 1 1/2"</v>
          </cell>
          <cell r="D783">
            <v>8.5400000000000004E-2</v>
          </cell>
          <cell r="E783">
            <v>8.5400000000000004E-2</v>
          </cell>
          <cell r="M783" t="str">
            <v>05.54.82.900.00</v>
          </cell>
          <cell r="P783" t="str">
            <v>N</v>
          </cell>
        </row>
        <row r="784">
          <cell r="A784">
            <v>783</v>
          </cell>
          <cell r="B784" t="str">
            <v>PERNOS ASTM</v>
          </cell>
          <cell r="C784" t="str">
            <v>PERNO 5/8" x 1 3/4"</v>
          </cell>
          <cell r="D784">
            <v>0.10100000000000001</v>
          </cell>
          <cell r="E784">
            <v>0.10100000000000001</v>
          </cell>
          <cell r="M784" t="str">
            <v>05.54.82.902.00</v>
          </cell>
          <cell r="P784" t="str">
            <v>N</v>
          </cell>
        </row>
        <row r="785">
          <cell r="A785">
            <v>784</v>
          </cell>
          <cell r="B785" t="str">
            <v>PERNOS ASTM</v>
          </cell>
          <cell r="C785" t="str">
            <v>PERNO 5/8" x 2"</v>
          </cell>
          <cell r="D785">
            <v>0.1225</v>
          </cell>
          <cell r="E785">
            <v>0.1225</v>
          </cell>
          <cell r="M785" t="str">
            <v>05.54.82.904.00</v>
          </cell>
          <cell r="P785" t="str">
            <v>N</v>
          </cell>
        </row>
        <row r="786">
          <cell r="A786">
            <v>785</v>
          </cell>
          <cell r="B786" t="str">
            <v>PERNOS ASTM</v>
          </cell>
          <cell r="C786" t="str">
            <v>PERNO 5/8" x 2 1/4"</v>
          </cell>
          <cell r="D786">
            <v>0.14499999999999999</v>
          </cell>
          <cell r="E786">
            <v>0.14499999999999999</v>
          </cell>
          <cell r="M786" t="str">
            <v>05.54.82.905.00</v>
          </cell>
          <cell r="P786" t="str">
            <v>N</v>
          </cell>
        </row>
        <row r="787">
          <cell r="A787">
            <v>786</v>
          </cell>
          <cell r="B787" t="str">
            <v>PERNOS ASTM</v>
          </cell>
          <cell r="C787" t="str">
            <v>PERNO 5/8" x 2 1/2"</v>
          </cell>
          <cell r="D787">
            <v>0.16</v>
          </cell>
          <cell r="E787">
            <v>0.16</v>
          </cell>
          <cell r="M787" t="str">
            <v>05.54.82.906.00</v>
          </cell>
          <cell r="P787" t="str">
            <v>N</v>
          </cell>
        </row>
        <row r="788">
          <cell r="A788">
            <v>787</v>
          </cell>
          <cell r="B788" t="str">
            <v>PERNOS ASTM</v>
          </cell>
          <cell r="C788" t="str">
            <v>PERNO 5/8" x 2 3/4"</v>
          </cell>
          <cell r="D788">
            <v>0.17960000000000001</v>
          </cell>
          <cell r="E788">
            <v>0.17960000000000001</v>
          </cell>
          <cell r="M788" t="str">
            <v>05.54.82.907.00</v>
          </cell>
          <cell r="P788" t="str">
            <v>N</v>
          </cell>
        </row>
        <row r="789">
          <cell r="A789">
            <v>788</v>
          </cell>
          <cell r="B789" t="str">
            <v>PERNOS ASTM</v>
          </cell>
          <cell r="C789" t="str">
            <v>PERNO 5/8" x 3"</v>
          </cell>
          <cell r="D789">
            <v>0.19800000000000001</v>
          </cell>
          <cell r="E789">
            <v>0.19800000000000001</v>
          </cell>
          <cell r="M789" t="str">
            <v>05.54.82.908.00</v>
          </cell>
          <cell r="P789" t="str">
            <v>N</v>
          </cell>
        </row>
        <row r="790">
          <cell r="A790">
            <v>789</v>
          </cell>
          <cell r="B790" t="str">
            <v>PERNOS ASTM</v>
          </cell>
          <cell r="C790" t="str">
            <v>PERNO 5/8" x 5"</v>
          </cell>
          <cell r="D790">
            <v>0.2145</v>
          </cell>
          <cell r="E790">
            <v>0.2145</v>
          </cell>
          <cell r="P790" t="str">
            <v>N</v>
          </cell>
        </row>
        <row r="791">
          <cell r="A791">
            <v>790</v>
          </cell>
          <cell r="B791" t="str">
            <v>PERNOS ASTM</v>
          </cell>
          <cell r="C791" t="str">
            <v>PERNO 5/8" x 5 1/2"</v>
          </cell>
          <cell r="D791">
            <v>0.23799999999999999</v>
          </cell>
          <cell r="E791">
            <v>0.23799999999999999</v>
          </cell>
          <cell r="P791" t="str">
            <v>N</v>
          </cell>
        </row>
        <row r="792">
          <cell r="A792">
            <v>791</v>
          </cell>
          <cell r="B792" t="str">
            <v>PERNOS ASTM</v>
          </cell>
          <cell r="C792" t="str">
            <v>PERNO 5/8" x 6"</v>
          </cell>
          <cell r="D792">
            <v>0.252</v>
          </cell>
          <cell r="E792">
            <v>0.252</v>
          </cell>
          <cell r="M792" t="str">
            <v>05.54.82.922.00</v>
          </cell>
          <cell r="P792" t="str">
            <v>N</v>
          </cell>
        </row>
        <row r="793">
          <cell r="A793">
            <v>792</v>
          </cell>
          <cell r="B793" t="str">
            <v>PERNOS ASTM</v>
          </cell>
          <cell r="C793" t="str">
            <v>PERNO 5/8" x 7"</v>
          </cell>
          <cell r="D793">
            <v>0.29799999999999999</v>
          </cell>
          <cell r="E793">
            <v>0.29799999999999999</v>
          </cell>
          <cell r="P793" t="str">
            <v>N</v>
          </cell>
        </row>
        <row r="794">
          <cell r="A794">
            <v>793</v>
          </cell>
          <cell r="B794" t="str">
            <v>PERNOS ASTM</v>
          </cell>
          <cell r="C794" t="str">
            <v>PERNO 5/8" x 8"</v>
          </cell>
          <cell r="D794">
            <v>0.33729999999999999</v>
          </cell>
          <cell r="E794">
            <v>0.33729999999999999</v>
          </cell>
          <cell r="P794" t="str">
            <v>N</v>
          </cell>
        </row>
        <row r="795">
          <cell r="A795">
            <v>794</v>
          </cell>
          <cell r="B795" t="str">
            <v>PERNOS ASTM</v>
          </cell>
          <cell r="C795" t="str">
            <v>PERNO 5/8" x 9"</v>
          </cell>
          <cell r="D795">
            <v>0.36749999999999999</v>
          </cell>
          <cell r="E795">
            <v>0.36749999999999999</v>
          </cell>
          <cell r="P795" t="str">
            <v>N</v>
          </cell>
        </row>
        <row r="796">
          <cell r="A796">
            <v>795</v>
          </cell>
          <cell r="B796" t="str">
            <v>PERNOS ASTM</v>
          </cell>
          <cell r="C796" t="str">
            <v>PERNO 5/8" x 10"</v>
          </cell>
          <cell r="D796">
            <v>0.41</v>
          </cell>
          <cell r="E796">
            <v>0.41</v>
          </cell>
          <cell r="P796" t="str">
            <v>N</v>
          </cell>
        </row>
        <row r="797">
          <cell r="A797">
            <v>796</v>
          </cell>
          <cell r="B797" t="str">
            <v>PERNOS ASTM</v>
          </cell>
          <cell r="C797" t="str">
            <v>PERNO 3/4" x 1 1/2"</v>
          </cell>
          <cell r="D797">
            <v>0.13700000000000001</v>
          </cell>
          <cell r="E797">
            <v>0.13700000000000001</v>
          </cell>
          <cell r="M797" t="str">
            <v>05.54.83.009.00</v>
          </cell>
          <cell r="P797" t="str">
            <v>N</v>
          </cell>
        </row>
        <row r="798">
          <cell r="A798">
            <v>797</v>
          </cell>
          <cell r="B798" t="str">
            <v>PERNOS ASTM</v>
          </cell>
          <cell r="C798" t="str">
            <v>PERNO 3/4" x 2"</v>
          </cell>
          <cell r="D798">
            <v>0.15870000000000001</v>
          </cell>
          <cell r="E798">
            <v>0.15870000000000001</v>
          </cell>
          <cell r="M798" t="str">
            <v>05.54.83.013.00</v>
          </cell>
          <cell r="P798" t="str">
            <v>N</v>
          </cell>
        </row>
        <row r="799">
          <cell r="A799">
            <v>798</v>
          </cell>
          <cell r="B799" t="str">
            <v>PERNOS ASTM</v>
          </cell>
          <cell r="C799" t="str">
            <v>PERNO 3/4" x 2 1/2"</v>
          </cell>
          <cell r="D799">
            <v>0.18679999999999999</v>
          </cell>
          <cell r="E799">
            <v>0.18679999999999999</v>
          </cell>
          <cell r="M799" t="str">
            <v>05.54.83.015.00</v>
          </cell>
          <cell r="P799" t="str">
            <v>N</v>
          </cell>
        </row>
        <row r="800">
          <cell r="A800">
            <v>799</v>
          </cell>
          <cell r="B800" t="str">
            <v>PERNOS ASTM</v>
          </cell>
          <cell r="C800" t="str">
            <v>PERNO 3/4" x 3"</v>
          </cell>
          <cell r="D800">
            <v>0.218</v>
          </cell>
          <cell r="E800">
            <v>0.218</v>
          </cell>
          <cell r="M800" t="str">
            <v>05.54.83.017.00</v>
          </cell>
          <cell r="P800" t="str">
            <v>N</v>
          </cell>
        </row>
        <row r="801">
          <cell r="A801">
            <v>800</v>
          </cell>
          <cell r="B801" t="str">
            <v>PERNOS ASTM</v>
          </cell>
          <cell r="C801" t="str">
            <v>PERNO 3/4" x 3 1/2"</v>
          </cell>
          <cell r="D801">
            <v>0.2445</v>
          </cell>
          <cell r="E801">
            <v>0.2445</v>
          </cell>
          <cell r="M801" t="str">
            <v>05.54.83.019.00</v>
          </cell>
          <cell r="P801" t="str">
            <v>N</v>
          </cell>
        </row>
        <row r="802">
          <cell r="A802">
            <v>801</v>
          </cell>
          <cell r="B802" t="str">
            <v>PERNOS ASTM</v>
          </cell>
          <cell r="C802" t="str">
            <v>PERNO 3/4" x 4"</v>
          </cell>
          <cell r="D802">
            <v>0.27129999999999999</v>
          </cell>
          <cell r="E802">
            <v>0.27129999999999999</v>
          </cell>
          <cell r="M802" t="str">
            <v>05.54.83.022.00</v>
          </cell>
          <cell r="P802" t="str">
            <v>N</v>
          </cell>
        </row>
        <row r="803">
          <cell r="A803">
            <v>802</v>
          </cell>
          <cell r="B803" t="str">
            <v>PERNOS ASTM</v>
          </cell>
          <cell r="C803" t="str">
            <v>PERNO 3/4" x 4 1/2"</v>
          </cell>
          <cell r="D803">
            <v>0.29799999999999999</v>
          </cell>
          <cell r="E803">
            <v>0.29799999999999999</v>
          </cell>
          <cell r="M803" t="str">
            <v>05.54.83.024.0</v>
          </cell>
          <cell r="P803" t="str">
            <v>N</v>
          </cell>
        </row>
        <row r="804">
          <cell r="A804">
            <v>803</v>
          </cell>
          <cell r="B804" t="str">
            <v>PERNOS ASTM</v>
          </cell>
          <cell r="C804" t="str">
            <v>PERNO 3/4" x 5"</v>
          </cell>
          <cell r="D804">
            <v>0.32469999999999999</v>
          </cell>
          <cell r="E804">
            <v>0.32469999999999999</v>
          </cell>
          <cell r="M804" t="str">
            <v>05.54.83.026.00</v>
          </cell>
          <cell r="P804" t="str">
            <v>N</v>
          </cell>
        </row>
        <row r="805">
          <cell r="A805">
            <v>804</v>
          </cell>
          <cell r="B805" t="str">
            <v>PERNOS ASTM</v>
          </cell>
          <cell r="C805" t="str">
            <v>PERNO 3/4" x 5 1/2"</v>
          </cell>
          <cell r="D805">
            <v>0.3493</v>
          </cell>
          <cell r="E805">
            <v>0.3493</v>
          </cell>
          <cell r="P805" t="str">
            <v>N</v>
          </cell>
        </row>
        <row r="806">
          <cell r="A806">
            <v>805</v>
          </cell>
          <cell r="B806" t="str">
            <v>PERNOS ASTM</v>
          </cell>
          <cell r="C806" t="str">
            <v>PERNO 3/4" x 6"</v>
          </cell>
          <cell r="D806">
            <v>0.37440000000000001</v>
          </cell>
          <cell r="E806">
            <v>0.37440000000000001</v>
          </cell>
          <cell r="P806" t="str">
            <v>N</v>
          </cell>
        </row>
        <row r="807">
          <cell r="A807">
            <v>806</v>
          </cell>
          <cell r="B807" t="str">
            <v>PERNOS ASTM</v>
          </cell>
          <cell r="C807" t="str">
            <v>PERNO 3/4" x 7"</v>
          </cell>
          <cell r="D807">
            <v>0.436</v>
          </cell>
          <cell r="E807">
            <v>0.436</v>
          </cell>
          <cell r="P807" t="str">
            <v>N</v>
          </cell>
        </row>
        <row r="808">
          <cell r="A808">
            <v>807</v>
          </cell>
          <cell r="B808" t="str">
            <v>PERNOS ASTM</v>
          </cell>
          <cell r="C808" t="str">
            <v>PERNO 3/4" x 8"</v>
          </cell>
          <cell r="D808">
            <v>0.49199999999999999</v>
          </cell>
          <cell r="E808">
            <v>0.49199999999999999</v>
          </cell>
          <cell r="P808" t="str">
            <v>N</v>
          </cell>
        </row>
        <row r="809">
          <cell r="A809">
            <v>808</v>
          </cell>
          <cell r="B809" t="str">
            <v>PERNOS ASTM</v>
          </cell>
          <cell r="C809" t="str">
            <v>PERNO 3/4" x 9"</v>
          </cell>
          <cell r="D809">
            <v>0.53749999999999998</v>
          </cell>
          <cell r="E809">
            <v>0.53749999999999998</v>
          </cell>
          <cell r="P809" t="str">
            <v>N</v>
          </cell>
        </row>
        <row r="810">
          <cell r="A810">
            <v>809</v>
          </cell>
          <cell r="B810" t="str">
            <v>PERNOS ASTM</v>
          </cell>
          <cell r="C810" t="str">
            <v>PERNO 3/4" x 10"</v>
          </cell>
          <cell r="D810">
            <v>0.6</v>
          </cell>
          <cell r="E810">
            <v>0.6</v>
          </cell>
          <cell r="P810" t="str">
            <v>S</v>
          </cell>
        </row>
        <row r="811">
          <cell r="A811">
            <v>810</v>
          </cell>
          <cell r="B811" t="str">
            <v>PERNOS ASTM</v>
          </cell>
          <cell r="C811" t="str">
            <v>PERNO 7/8" x 1 1/2"</v>
          </cell>
          <cell r="D811">
            <v>0.2</v>
          </cell>
          <cell r="E811">
            <v>0.2</v>
          </cell>
          <cell r="P811" t="str">
            <v>S</v>
          </cell>
        </row>
        <row r="812">
          <cell r="A812">
            <v>811</v>
          </cell>
          <cell r="B812" t="str">
            <v>PERNOS ASTM</v>
          </cell>
          <cell r="C812" t="str">
            <v>PERNO 7/8" x 2"</v>
          </cell>
          <cell r="D812">
            <v>0.22600000000000001</v>
          </cell>
          <cell r="E812">
            <v>0.22600000000000001</v>
          </cell>
          <cell r="M812" t="str">
            <v>05.54.83.105.0</v>
          </cell>
          <cell r="P812" t="str">
            <v>S</v>
          </cell>
        </row>
        <row r="813">
          <cell r="A813">
            <v>812</v>
          </cell>
          <cell r="B813" t="str">
            <v>PERNOS ASTM</v>
          </cell>
          <cell r="C813" t="str">
            <v>PERNO 7/8" x 2 1/2"</v>
          </cell>
          <cell r="D813">
            <v>0.26669999999999999</v>
          </cell>
          <cell r="E813">
            <v>0.26669999999999999</v>
          </cell>
          <cell r="M813" t="str">
            <v>05.54.83.107.00</v>
          </cell>
          <cell r="P813" t="str">
            <v>S</v>
          </cell>
        </row>
        <row r="814">
          <cell r="A814">
            <v>813</v>
          </cell>
          <cell r="B814" t="str">
            <v>PERNOS ASTM</v>
          </cell>
          <cell r="C814" t="str">
            <v>PERNO 7/8" x 3"</v>
          </cell>
          <cell r="D814">
            <v>0.30399999999999999</v>
          </cell>
          <cell r="E814">
            <v>0.30399999999999999</v>
          </cell>
          <cell r="M814" t="str">
            <v>05.54.83.109.00</v>
          </cell>
          <cell r="P814" t="str">
            <v>S</v>
          </cell>
        </row>
        <row r="815">
          <cell r="A815">
            <v>814</v>
          </cell>
          <cell r="B815" t="str">
            <v>PERNOS ASTM</v>
          </cell>
          <cell r="C815" t="str">
            <v>PERNO 7/8" x 3 1/2"</v>
          </cell>
          <cell r="D815">
            <v>0.33800000000000002</v>
          </cell>
          <cell r="E815">
            <v>0.33800000000000002</v>
          </cell>
          <cell r="M815" t="str">
            <v>05.54.83.111.01</v>
          </cell>
          <cell r="P815" t="str">
            <v>N</v>
          </cell>
        </row>
        <row r="816">
          <cell r="A816">
            <v>815</v>
          </cell>
          <cell r="B816" t="str">
            <v>PERNOS ASTM</v>
          </cell>
          <cell r="C816" t="str">
            <v>PERNO 7/8" x 4"</v>
          </cell>
          <cell r="D816">
            <v>0.38</v>
          </cell>
          <cell r="E816">
            <v>0.38</v>
          </cell>
          <cell r="M816" t="str">
            <v>05.54.83.114.0</v>
          </cell>
          <cell r="P816" t="str">
            <v>N</v>
          </cell>
        </row>
        <row r="817">
          <cell r="A817">
            <v>816</v>
          </cell>
          <cell r="B817" t="str">
            <v>PERNOS ASTM</v>
          </cell>
          <cell r="C817" t="str">
            <v>PERNO 7/8" x 4 1/2"</v>
          </cell>
          <cell r="D817">
            <v>0.41799999999999998</v>
          </cell>
          <cell r="E817">
            <v>0.41799999999999998</v>
          </cell>
          <cell r="M817" t="str">
            <v>05.54.83.116.0</v>
          </cell>
          <cell r="P817" t="str">
            <v>N</v>
          </cell>
        </row>
        <row r="818">
          <cell r="A818">
            <v>817</v>
          </cell>
          <cell r="B818" t="str">
            <v>PERNOS ASTM</v>
          </cell>
          <cell r="C818" t="str">
            <v>PERNO 7/8" x 5"</v>
          </cell>
          <cell r="D818">
            <v>0.45400000000000001</v>
          </cell>
          <cell r="E818">
            <v>0.45400000000000001</v>
          </cell>
          <cell r="P818" t="str">
            <v>N</v>
          </cell>
        </row>
        <row r="819">
          <cell r="A819">
            <v>818</v>
          </cell>
          <cell r="B819" t="str">
            <v>PERNOS ASTM</v>
          </cell>
          <cell r="C819" t="str">
            <v>PERNO 7/8" x 5 1/2"</v>
          </cell>
          <cell r="D819">
            <v>0.49199999999999999</v>
          </cell>
          <cell r="E819">
            <v>0.49199999999999999</v>
          </cell>
          <cell r="P819" t="str">
            <v>N</v>
          </cell>
        </row>
        <row r="820">
          <cell r="A820">
            <v>819</v>
          </cell>
          <cell r="B820" t="str">
            <v>PERNOS ASTM</v>
          </cell>
          <cell r="C820" t="str">
            <v>PERNO 7/8" x 6"</v>
          </cell>
          <cell r="D820">
            <v>0.52300000000000002</v>
          </cell>
          <cell r="E820">
            <v>0.52300000000000002</v>
          </cell>
          <cell r="P820" t="str">
            <v>N</v>
          </cell>
        </row>
        <row r="821">
          <cell r="A821">
            <v>820</v>
          </cell>
          <cell r="B821" t="str">
            <v>PERNOS ASTM</v>
          </cell>
          <cell r="C821" t="str">
            <v>PERNO 7/8" x 7"</v>
          </cell>
          <cell r="D821">
            <v>0.6</v>
          </cell>
          <cell r="E821">
            <v>0.6</v>
          </cell>
          <cell r="P821" t="str">
            <v>N</v>
          </cell>
        </row>
        <row r="822">
          <cell r="A822">
            <v>821</v>
          </cell>
          <cell r="B822" t="str">
            <v>PERNOS ASTM</v>
          </cell>
          <cell r="C822" t="str">
            <v>PERNO 7/8" x 8"</v>
          </cell>
          <cell r="D822">
            <v>0.67</v>
          </cell>
          <cell r="E822">
            <v>0.67</v>
          </cell>
          <cell r="P822" t="str">
            <v>N</v>
          </cell>
        </row>
        <row r="823">
          <cell r="A823">
            <v>822</v>
          </cell>
          <cell r="B823" t="str">
            <v>PERNOS ASTM</v>
          </cell>
          <cell r="C823" t="str">
            <v>PERNO 7/8" x 9"</v>
          </cell>
          <cell r="D823">
            <v>0.75670000000000004</v>
          </cell>
          <cell r="E823">
            <v>0.75670000000000004</v>
          </cell>
          <cell r="P823" t="str">
            <v>N</v>
          </cell>
        </row>
        <row r="824">
          <cell r="A824">
            <v>823</v>
          </cell>
          <cell r="B824" t="str">
            <v>PERNOS ASTM</v>
          </cell>
          <cell r="C824" t="str">
            <v>PERNO 7/8" x 10"</v>
          </cell>
          <cell r="D824">
            <v>0.82669999999999999</v>
          </cell>
          <cell r="E824">
            <v>0.82669999999999999</v>
          </cell>
          <cell r="P824" t="str">
            <v>S</v>
          </cell>
        </row>
        <row r="825">
          <cell r="A825">
            <v>824</v>
          </cell>
          <cell r="B825" t="str">
            <v>PERNOS ASTM</v>
          </cell>
          <cell r="C825" t="str">
            <v>PERNO 1" x 2"</v>
          </cell>
          <cell r="D825">
            <v>0.30930000000000002</v>
          </cell>
          <cell r="E825">
            <v>0.30930000000000002</v>
          </cell>
          <cell r="M825" t="str">
            <v>05.54.83.190.0</v>
          </cell>
          <cell r="P825" t="str">
            <v>S</v>
          </cell>
        </row>
        <row r="826">
          <cell r="A826">
            <v>825</v>
          </cell>
          <cell r="B826" t="str">
            <v>PERNOS ASTM</v>
          </cell>
          <cell r="C826" t="str">
            <v>PERNO 1" x 2 1/2"</v>
          </cell>
          <cell r="D826">
            <v>0.36399999999999999</v>
          </cell>
          <cell r="E826">
            <v>0.36399999999999999</v>
          </cell>
          <cell r="M826" t="str">
            <v>05.54.83.192.00</v>
          </cell>
          <cell r="P826" t="str">
            <v>S</v>
          </cell>
        </row>
        <row r="827">
          <cell r="A827">
            <v>826</v>
          </cell>
          <cell r="B827" t="str">
            <v>PERNOS ASTM</v>
          </cell>
          <cell r="C827" t="str">
            <v>PERNO 1" x 3"</v>
          </cell>
          <cell r="D827">
            <v>0.40300000000000002</v>
          </cell>
          <cell r="E827">
            <v>0.40300000000000002</v>
          </cell>
          <cell r="M827" t="str">
            <v>05.54.83.194.00</v>
          </cell>
          <cell r="P827" t="str">
            <v>S</v>
          </cell>
        </row>
        <row r="828">
          <cell r="A828">
            <v>827</v>
          </cell>
          <cell r="B828" t="str">
            <v>PERNOS ASTM</v>
          </cell>
          <cell r="C828" t="str">
            <v>PERNO 1" x 3 1/2"</v>
          </cell>
          <cell r="D828">
            <v>0.45800000000000002</v>
          </cell>
          <cell r="E828">
            <v>0.45800000000000002</v>
          </cell>
          <cell r="M828" t="str">
            <v>05.54.83.196.00</v>
          </cell>
          <cell r="P828" t="str">
            <v>S</v>
          </cell>
        </row>
        <row r="829">
          <cell r="A829">
            <v>828</v>
          </cell>
          <cell r="B829" t="str">
            <v>PERNOS ASTM</v>
          </cell>
          <cell r="C829" t="str">
            <v>PERNO 1" x 4"</v>
          </cell>
          <cell r="D829">
            <v>0.50600000000000001</v>
          </cell>
          <cell r="E829">
            <v>0.50600000000000001</v>
          </cell>
          <cell r="M829" t="str">
            <v>05.54.83.198.00</v>
          </cell>
          <cell r="P829" t="str">
            <v>S</v>
          </cell>
        </row>
        <row r="830">
          <cell r="A830">
            <v>829</v>
          </cell>
          <cell r="B830" t="str">
            <v>PERNOS ASTM</v>
          </cell>
          <cell r="C830" t="str">
            <v>PERNO 1" x 4 1/2"</v>
          </cell>
          <cell r="D830">
            <v>0.55500000000000005</v>
          </cell>
          <cell r="E830">
            <v>0.55500000000000005</v>
          </cell>
          <cell r="M830" t="str">
            <v>05.54.83.200.00</v>
          </cell>
          <cell r="P830" t="str">
            <v>S</v>
          </cell>
        </row>
        <row r="831">
          <cell r="A831">
            <v>830</v>
          </cell>
          <cell r="B831" t="str">
            <v>PERNOS ASTM</v>
          </cell>
          <cell r="C831" t="str">
            <v>PERNO 1" x 5"</v>
          </cell>
          <cell r="D831">
            <v>0.60499999999999998</v>
          </cell>
          <cell r="E831">
            <v>0.60499999999999998</v>
          </cell>
          <cell r="M831" t="str">
            <v>05.54.83.202.0</v>
          </cell>
          <cell r="P831" t="str">
            <v>N</v>
          </cell>
        </row>
        <row r="832">
          <cell r="A832">
            <v>831</v>
          </cell>
          <cell r="B832" t="str">
            <v>PERNOS ASTM</v>
          </cell>
          <cell r="C832" t="str">
            <v>PERNO 1" x 5 1/2"</v>
          </cell>
          <cell r="D832">
            <v>0.65290000000000004</v>
          </cell>
          <cell r="E832">
            <v>0.65290000000000004</v>
          </cell>
          <cell r="M832" t="str">
            <v>05.54.83.204.0</v>
          </cell>
          <cell r="P832" t="str">
            <v>N</v>
          </cell>
        </row>
        <row r="833">
          <cell r="A833">
            <v>832</v>
          </cell>
          <cell r="B833" t="str">
            <v>PERNOS ASTM</v>
          </cell>
          <cell r="C833" t="str">
            <v>PERNO 1" x 6"</v>
          </cell>
          <cell r="D833">
            <v>0.70140000000000002</v>
          </cell>
          <cell r="E833">
            <v>0.70140000000000002</v>
          </cell>
          <cell r="M833" t="str">
            <v>05.54.83.206.00</v>
          </cell>
          <cell r="P833" t="str">
            <v>N</v>
          </cell>
        </row>
        <row r="834">
          <cell r="A834">
            <v>833</v>
          </cell>
          <cell r="B834" t="str">
            <v>PERNOS ASTM</v>
          </cell>
          <cell r="C834" t="str">
            <v>PERNO 1" x 7"</v>
          </cell>
          <cell r="D834">
            <v>0.79669999999999996</v>
          </cell>
          <cell r="E834">
            <v>0.79669999999999996</v>
          </cell>
          <cell r="P834" t="str">
            <v>N</v>
          </cell>
        </row>
        <row r="835">
          <cell r="A835">
            <v>834</v>
          </cell>
          <cell r="B835" t="str">
            <v>PERNOS ASTM</v>
          </cell>
          <cell r="C835" t="str">
            <v>PERNO 1" x 8"</v>
          </cell>
          <cell r="D835">
            <v>0.89400000000000002</v>
          </cell>
          <cell r="E835">
            <v>0.89400000000000002</v>
          </cell>
          <cell r="P835" t="str">
            <v>N</v>
          </cell>
        </row>
        <row r="836">
          <cell r="A836">
            <v>835</v>
          </cell>
          <cell r="B836" t="str">
            <v>PERNOS ASTM</v>
          </cell>
          <cell r="C836" t="str">
            <v>PERNO 1" x 9"</v>
          </cell>
          <cell r="D836">
            <v>0.99750000000000005</v>
          </cell>
          <cell r="E836">
            <v>0.99750000000000005</v>
          </cell>
          <cell r="P836" t="str">
            <v>N</v>
          </cell>
        </row>
        <row r="837">
          <cell r="A837">
            <v>836</v>
          </cell>
          <cell r="B837" t="str">
            <v>PERNOS ASTM</v>
          </cell>
          <cell r="C837" t="str">
            <v>PERNO 1" x 10"</v>
          </cell>
          <cell r="D837">
            <v>1.075</v>
          </cell>
          <cell r="E837">
            <v>1.075</v>
          </cell>
          <cell r="P837" t="str">
            <v>N</v>
          </cell>
        </row>
        <row r="838">
          <cell r="A838">
            <v>837</v>
          </cell>
          <cell r="B838" t="str">
            <v>TUERCA</v>
          </cell>
          <cell r="C838" t="str">
            <v>TUERCA 1/4"</v>
          </cell>
          <cell r="D838">
            <v>3.2000000000000002E-3</v>
          </cell>
          <cell r="E838">
            <v>3.2000000000000002E-3</v>
          </cell>
          <cell r="P838" t="str">
            <v>N</v>
          </cell>
        </row>
        <row r="839">
          <cell r="A839">
            <v>838</v>
          </cell>
          <cell r="B839" t="str">
            <v>TUERCA</v>
          </cell>
          <cell r="C839" t="str">
            <v>TUERCA 5/16"</v>
          </cell>
          <cell r="D839">
            <v>4.7000000000000002E-3</v>
          </cell>
          <cell r="E839">
            <v>4.7000000000000002E-3</v>
          </cell>
          <cell r="P839" t="str">
            <v>S</v>
          </cell>
        </row>
        <row r="840">
          <cell r="A840">
            <v>839</v>
          </cell>
          <cell r="B840" t="str">
            <v>TUERCA</v>
          </cell>
          <cell r="C840" t="str">
            <v>TUERCA 3/8"</v>
          </cell>
          <cell r="D840">
            <v>7.1000000000000004E-3</v>
          </cell>
          <cell r="E840">
            <v>7.1000000000000004E-3</v>
          </cell>
          <cell r="M840" t="str">
            <v>05.68.24.024.00</v>
          </cell>
          <cell r="P840" t="str">
            <v>S</v>
          </cell>
        </row>
        <row r="841">
          <cell r="A841">
            <v>840</v>
          </cell>
          <cell r="B841" t="str">
            <v>TUERCA</v>
          </cell>
          <cell r="C841" t="str">
            <v>TUERCA 7/16"</v>
          </cell>
          <cell r="D841">
            <v>1.26E-2</v>
          </cell>
          <cell r="E841">
            <v>1.26E-2</v>
          </cell>
          <cell r="P841" t="str">
            <v>S</v>
          </cell>
        </row>
        <row r="842">
          <cell r="A842">
            <v>841</v>
          </cell>
          <cell r="B842" t="str">
            <v>TUERCA DH REFORZADA</v>
          </cell>
          <cell r="C842" t="str">
            <v>TUERCA 1/2"</v>
          </cell>
          <cell r="D842">
            <v>1.67E-2</v>
          </cell>
          <cell r="E842">
            <v>1.67E-2</v>
          </cell>
          <cell r="M842" t="str">
            <v>05.68.13.032.00</v>
          </cell>
          <cell r="P842" t="str">
            <v>S</v>
          </cell>
        </row>
        <row r="843">
          <cell r="A843">
            <v>842</v>
          </cell>
          <cell r="B843" t="str">
            <v>TUERCA</v>
          </cell>
          <cell r="C843" t="str">
            <v>TUERCA 9/16"</v>
          </cell>
          <cell r="D843">
            <v>2.5700000000000001E-2</v>
          </cell>
          <cell r="E843">
            <v>2.5700000000000001E-2</v>
          </cell>
          <cell r="P843" t="str">
            <v>S</v>
          </cell>
        </row>
        <row r="844">
          <cell r="A844">
            <v>843</v>
          </cell>
          <cell r="B844" t="str">
            <v>TUERCA DH REFORZADA</v>
          </cell>
          <cell r="C844" t="str">
            <v>TUERCA 5/8"</v>
          </cell>
          <cell r="D844">
            <v>3.2800000000000003E-2</v>
          </cell>
          <cell r="E844">
            <v>3.2800000000000003E-2</v>
          </cell>
          <cell r="M844" t="str">
            <v>05.68.13.040.00</v>
          </cell>
          <cell r="P844" t="str">
            <v>S</v>
          </cell>
        </row>
        <row r="845">
          <cell r="A845">
            <v>844</v>
          </cell>
          <cell r="B845" t="str">
            <v>TUERCA DH REFORZADA</v>
          </cell>
          <cell r="C845" t="str">
            <v>TUERCA 3/4"</v>
          </cell>
          <cell r="D845">
            <v>5.3600000000000002E-2</v>
          </cell>
          <cell r="E845">
            <v>5.3600000000000002E-2</v>
          </cell>
          <cell r="M845" t="str">
            <v>05.68.13.048.00</v>
          </cell>
          <cell r="P845" t="str">
            <v>S</v>
          </cell>
        </row>
        <row r="846">
          <cell r="A846">
            <v>845</v>
          </cell>
          <cell r="B846" t="str">
            <v>TUERCA DH REFORZADA</v>
          </cell>
          <cell r="C846" t="str">
            <v>TUERCA 7/8"</v>
          </cell>
          <cell r="D846">
            <v>8.3599999999999994E-2</v>
          </cell>
          <cell r="E846">
            <v>8.3599999999999994E-2</v>
          </cell>
          <cell r="M846" t="str">
            <v>05.68.13.056.00</v>
          </cell>
          <cell r="P846" t="str">
            <v>S</v>
          </cell>
        </row>
        <row r="847">
          <cell r="A847">
            <v>846</v>
          </cell>
          <cell r="B847" t="str">
            <v>TUERCA DH REFORZADA</v>
          </cell>
          <cell r="C847" t="str">
            <v>TUERCA 1"</v>
          </cell>
          <cell r="D847">
            <v>0.12280000000000001</v>
          </cell>
          <cell r="E847">
            <v>0.12280000000000001</v>
          </cell>
          <cell r="M847" t="str">
            <v>05.68.13.064.00</v>
          </cell>
          <cell r="P847" t="str">
            <v>S</v>
          </cell>
        </row>
        <row r="848">
          <cell r="A848">
            <v>847</v>
          </cell>
          <cell r="B848" t="str">
            <v>TUERCA DH REFORZADA</v>
          </cell>
          <cell r="C848" t="str">
            <v>TUERCA 1 1/8"</v>
          </cell>
          <cell r="D848">
            <v>0.183</v>
          </cell>
          <cell r="E848">
            <v>0.183</v>
          </cell>
          <cell r="M848" t="str">
            <v>05.68.13.072.00</v>
          </cell>
          <cell r="P848" t="str">
            <v>N</v>
          </cell>
        </row>
        <row r="849">
          <cell r="A849">
            <v>848</v>
          </cell>
          <cell r="B849" t="str">
            <v>TUERCA DH REFORZADA</v>
          </cell>
          <cell r="C849" t="str">
            <v>TUERCA 1 1/4"</v>
          </cell>
          <cell r="D849">
            <v>0.246</v>
          </cell>
          <cell r="E849">
            <v>0.246</v>
          </cell>
          <cell r="M849" t="str">
            <v>05.68.13.080.0</v>
          </cell>
          <cell r="P849" t="str">
            <v>N</v>
          </cell>
        </row>
        <row r="850">
          <cell r="A850">
            <v>849</v>
          </cell>
          <cell r="B850" t="str">
            <v>TUERCA</v>
          </cell>
          <cell r="C850" t="str">
            <v>TUERCA 1 1/2"</v>
          </cell>
          <cell r="D850">
            <v>0.42799999999999999</v>
          </cell>
          <cell r="E850">
            <v>0.42799999999999999</v>
          </cell>
          <cell r="M850" t="str">
            <v>05.68.03.096.00</v>
          </cell>
          <cell r="P850" t="str">
            <v>N</v>
          </cell>
        </row>
        <row r="851">
          <cell r="A851">
            <v>850</v>
          </cell>
          <cell r="B851" t="str">
            <v>ARANDELA PLANA F436 GALVANIZADA</v>
          </cell>
          <cell r="C851" t="str">
            <v>ARANDELA PLANA 3/8"</v>
          </cell>
          <cell r="D851">
            <v>8.5000000000000006E-3</v>
          </cell>
          <cell r="E851">
            <v>8.5000000000000006E-3</v>
          </cell>
          <cell r="M851" t="str">
            <v>05.02.36.024.01</v>
          </cell>
          <cell r="O851" t="str">
            <v>F436</v>
          </cell>
          <cell r="P851" t="str">
            <v>N</v>
          </cell>
        </row>
        <row r="852">
          <cell r="A852">
            <v>851</v>
          </cell>
          <cell r="B852" t="str">
            <v>ARANDELA PLANA F436 GALVANIZADA</v>
          </cell>
          <cell r="C852" t="str">
            <v>ARANDELA PLANA 1/2"</v>
          </cell>
          <cell r="D852">
            <v>1.5599999999999999E-2</v>
          </cell>
          <cell r="E852">
            <v>1.5599999999999999E-2</v>
          </cell>
          <cell r="M852" t="str">
            <v>05.02.36.032.02</v>
          </cell>
          <cell r="O852" t="str">
            <v>F436</v>
          </cell>
          <cell r="P852" t="str">
            <v>S</v>
          </cell>
        </row>
        <row r="853">
          <cell r="A853">
            <v>852</v>
          </cell>
          <cell r="B853" t="str">
            <v>ARANDELA PLANA F436 GALVANIZADA</v>
          </cell>
          <cell r="C853" t="str">
            <v>ARANDELA PLANA 9/16"</v>
          </cell>
          <cell r="D853">
            <v>2.1700000000000001E-2</v>
          </cell>
          <cell r="E853">
            <v>2.1700000000000001E-2</v>
          </cell>
          <cell r="O853" t="str">
            <v>F436</v>
          </cell>
          <cell r="P853" t="str">
            <v>S</v>
          </cell>
        </row>
        <row r="854">
          <cell r="A854">
            <v>853</v>
          </cell>
          <cell r="B854" t="str">
            <v>ARANDELA PLANA F436 GALVANIZADA</v>
          </cell>
          <cell r="C854" t="str">
            <v>ARANDELA PLANA 5/8"</v>
          </cell>
          <cell r="D854">
            <v>2.7900000000000001E-2</v>
          </cell>
          <cell r="E854">
            <v>2.7900000000000001E-2</v>
          </cell>
          <cell r="M854" t="str">
            <v>05.02.36.040.00</v>
          </cell>
          <cell r="O854" t="str">
            <v>F436</v>
          </cell>
          <cell r="P854" t="str">
            <v>S</v>
          </cell>
        </row>
        <row r="855">
          <cell r="A855">
            <v>854</v>
          </cell>
          <cell r="B855" t="str">
            <v>ARANDELA PLANA F436 GALVANIZADA</v>
          </cell>
          <cell r="C855" t="str">
            <v>ARANDELA PLANA 3/4"</v>
          </cell>
          <cell r="D855">
            <v>3.2500000000000001E-2</v>
          </cell>
          <cell r="E855">
            <v>3.2500000000000001E-2</v>
          </cell>
          <cell r="M855" t="str">
            <v>05.02.36.048.00</v>
          </cell>
          <cell r="O855" t="str">
            <v>F436</v>
          </cell>
          <cell r="P855" t="str">
            <v>S</v>
          </cell>
        </row>
        <row r="856">
          <cell r="A856">
            <v>855</v>
          </cell>
          <cell r="B856" t="str">
            <v>ARANDELA PLANA F436 GALVANIZADA</v>
          </cell>
          <cell r="C856" t="str">
            <v>ARANDELA PLANA 7/8"</v>
          </cell>
          <cell r="D856">
            <v>4.1099999999999998E-2</v>
          </cell>
          <cell r="E856">
            <v>4.1099999999999998E-2</v>
          </cell>
          <cell r="M856" t="str">
            <v>05.02.36.056.02</v>
          </cell>
          <cell r="O856" t="str">
            <v>F436</v>
          </cell>
          <cell r="P856" t="str">
            <v>S</v>
          </cell>
        </row>
        <row r="857">
          <cell r="A857">
            <v>856</v>
          </cell>
          <cell r="B857" t="str">
            <v>ARANDELA PLANA F436 GALVANIZADA</v>
          </cell>
          <cell r="C857" t="str">
            <v>ARANDELA PLANA 1"</v>
          </cell>
          <cell r="D857">
            <v>5.5E-2</v>
          </cell>
          <cell r="E857">
            <v>5.5E-2</v>
          </cell>
          <cell r="M857" t="str">
            <v>05.02.36.064.01</v>
          </cell>
          <cell r="O857" t="str">
            <v>F436</v>
          </cell>
          <cell r="P857" t="str">
            <v>S</v>
          </cell>
        </row>
        <row r="858">
          <cell r="A858">
            <v>857</v>
          </cell>
          <cell r="B858" t="str">
            <v>ARANDELA PLANA F436 GALVANIZADA</v>
          </cell>
          <cell r="C858" t="str">
            <v>ARANDELA PLANA 1 1/8"</v>
          </cell>
          <cell r="D858">
            <v>6.6100000000000006E-2</v>
          </cell>
          <cell r="E858">
            <v>6.6100000000000006E-2</v>
          </cell>
          <cell r="M858" t="str">
            <v>05.02.36.072.01</v>
          </cell>
          <cell r="O858" t="str">
            <v>F436</v>
          </cell>
          <cell r="P858" t="str">
            <v>S</v>
          </cell>
        </row>
        <row r="859">
          <cell r="A859">
            <v>858</v>
          </cell>
          <cell r="B859" t="str">
            <v>ARANDELA PLANA F436 GALVANIZADA</v>
          </cell>
          <cell r="C859" t="str">
            <v>ARANDELA PLANA 1 1/4"</v>
          </cell>
          <cell r="D859">
            <v>7.3099999999999998E-2</v>
          </cell>
          <cell r="E859">
            <v>7.3099999999999998E-2</v>
          </cell>
          <cell r="M859" t="str">
            <v>05.02.36.080.00</v>
          </cell>
          <cell r="O859" t="str">
            <v>F436</v>
          </cell>
          <cell r="P859" t="str">
            <v>S</v>
          </cell>
        </row>
        <row r="860">
          <cell r="A860">
            <v>859</v>
          </cell>
          <cell r="B860" t="str">
            <v>ARANDELA PLANA F436 GALVANIZADA</v>
          </cell>
          <cell r="C860" t="str">
            <v>ARANDELA PLANA 1 1/2"</v>
          </cell>
          <cell r="D860">
            <v>0.08</v>
          </cell>
          <cell r="E860">
            <v>0.08</v>
          </cell>
          <cell r="M860" t="str">
            <v>05.02.36.096.02</v>
          </cell>
          <cell r="O860" t="str">
            <v>F436</v>
          </cell>
          <cell r="P860" t="str">
            <v>S</v>
          </cell>
        </row>
        <row r="861">
          <cell r="A861">
            <v>860</v>
          </cell>
          <cell r="B861" t="str">
            <v>ARANDELA DE PRESIÓN</v>
          </cell>
          <cell r="C861" t="str">
            <v>ARANDELA PRESIÓN 1/4"</v>
          </cell>
          <cell r="D861">
            <v>8.9999999999999998E-4</v>
          </cell>
          <cell r="E861">
            <v>8.9999999999999998E-4</v>
          </cell>
          <cell r="M861" t="str">
            <v>05.02.63.016.00</v>
          </cell>
          <cell r="O861" t="str">
            <v>A36</v>
          </cell>
          <cell r="P861" t="str">
            <v>N</v>
          </cell>
        </row>
        <row r="862">
          <cell r="A862">
            <v>861</v>
          </cell>
          <cell r="B862" t="str">
            <v>ARANDELA DE PRESIÓN</v>
          </cell>
          <cell r="C862" t="str">
            <v>ARANDELA PRESIÓN 5/16"</v>
          </cell>
          <cell r="D862">
            <v>1.5E-3</v>
          </cell>
          <cell r="E862">
            <v>1.5E-3</v>
          </cell>
          <cell r="O862" t="str">
            <v>A36</v>
          </cell>
          <cell r="P862" t="str">
            <v>N</v>
          </cell>
        </row>
        <row r="863">
          <cell r="A863">
            <v>862</v>
          </cell>
          <cell r="B863" t="str">
            <v>ARANDELA DE PRESIÓN</v>
          </cell>
          <cell r="C863" t="str">
            <v>ARANDELA PRESIÓN 3/8"</v>
          </cell>
          <cell r="D863">
            <v>2.3E-3</v>
          </cell>
          <cell r="E863">
            <v>2.3E-3</v>
          </cell>
          <cell r="M863" t="str">
            <v>05.02.63.024.00</v>
          </cell>
          <cell r="O863" t="str">
            <v>A36</v>
          </cell>
          <cell r="P863" t="str">
            <v>N</v>
          </cell>
        </row>
        <row r="864">
          <cell r="A864">
            <v>863</v>
          </cell>
          <cell r="B864" t="str">
            <v>ARANDELA DE PRESIÓN</v>
          </cell>
          <cell r="C864" t="str">
            <v>ARANDELA PRESIÓN 7/16"</v>
          </cell>
          <cell r="D864">
            <v>3.2000000000000002E-3</v>
          </cell>
          <cell r="E864">
            <v>3.2000000000000002E-3</v>
          </cell>
          <cell r="O864" t="str">
            <v>A36</v>
          </cell>
          <cell r="P864" t="str">
            <v>N</v>
          </cell>
        </row>
        <row r="865">
          <cell r="A865">
            <v>864</v>
          </cell>
          <cell r="B865" t="str">
            <v>ARANDELA DE PRESIÓN</v>
          </cell>
          <cell r="C865" t="str">
            <v>ARANDELA PRESIÓN 1/2"</v>
          </cell>
          <cell r="D865">
            <v>3.5999999999999999E-3</v>
          </cell>
          <cell r="E865">
            <v>3.5999999999999999E-3</v>
          </cell>
          <cell r="M865" t="str">
            <v>05.02.63.032.01</v>
          </cell>
          <cell r="O865" t="str">
            <v>A36</v>
          </cell>
          <cell r="P865" t="str">
            <v>N</v>
          </cell>
        </row>
        <row r="866">
          <cell r="A866">
            <v>865</v>
          </cell>
          <cell r="B866" t="str">
            <v>ARANDELA DE PRESIÓN</v>
          </cell>
          <cell r="C866" t="str">
            <v>ARANDELA PRESIÓN 9/16"</v>
          </cell>
          <cell r="D866">
            <v>5.4000000000000003E-3</v>
          </cell>
          <cell r="E866">
            <v>5.4000000000000003E-3</v>
          </cell>
          <cell r="O866" t="str">
            <v>A36</v>
          </cell>
          <cell r="P866" t="str">
            <v>N</v>
          </cell>
        </row>
        <row r="867">
          <cell r="A867">
            <v>866</v>
          </cell>
          <cell r="B867" t="str">
            <v>ARANDELA DE PRESIÓN</v>
          </cell>
          <cell r="C867" t="str">
            <v>ARANDELA PRESIÓN 5/8"</v>
          </cell>
          <cell r="D867">
            <v>8.2000000000000007E-3</v>
          </cell>
          <cell r="E867">
            <v>8.2000000000000007E-3</v>
          </cell>
          <cell r="M867" t="str">
            <v>05.02.63.040.02</v>
          </cell>
          <cell r="O867" t="str">
            <v>A36</v>
          </cell>
          <cell r="P867" t="str">
            <v>S</v>
          </cell>
        </row>
        <row r="868">
          <cell r="A868">
            <v>867</v>
          </cell>
          <cell r="B868" t="str">
            <v>ARANDELA DE PRESIÓN</v>
          </cell>
          <cell r="C868" t="str">
            <v>ARANDELA PRESIÓN 3/4"</v>
          </cell>
          <cell r="D868">
            <v>1.32E-2</v>
          </cell>
          <cell r="E868">
            <v>1.32E-2</v>
          </cell>
          <cell r="M868" t="str">
            <v>05.02.63.048.00</v>
          </cell>
          <cell r="O868" t="str">
            <v>A36</v>
          </cell>
          <cell r="P868" t="str">
            <v>N</v>
          </cell>
        </row>
        <row r="869">
          <cell r="A869">
            <v>868</v>
          </cell>
          <cell r="B869" t="str">
            <v>ARANDELA DE PRESIÓN</v>
          </cell>
          <cell r="C869" t="str">
            <v>ARANDELA PRESIÓN 7/8"</v>
          </cell>
          <cell r="D869">
            <v>1.4800000000000001E-2</v>
          </cell>
          <cell r="E869">
            <v>1.4800000000000001E-2</v>
          </cell>
          <cell r="M869" t="str">
            <v>05.02.63.056.00</v>
          </cell>
          <cell r="O869" t="str">
            <v>A36</v>
          </cell>
          <cell r="P869" t="str">
            <v>S</v>
          </cell>
        </row>
        <row r="870">
          <cell r="A870">
            <v>869</v>
          </cell>
          <cell r="B870" t="str">
            <v>ARANDELA DE PRESIÓN</v>
          </cell>
          <cell r="C870" t="str">
            <v>ARANDELA PRESIÓN 1"</v>
          </cell>
          <cell r="D870">
            <v>1.7500000000000002E-2</v>
          </cell>
          <cell r="E870">
            <v>1.7500000000000002E-2</v>
          </cell>
          <cell r="M870" t="str">
            <v>05.02.63.064.01</v>
          </cell>
          <cell r="O870" t="str">
            <v>A36</v>
          </cell>
          <cell r="P870" t="str">
            <v>N</v>
          </cell>
        </row>
        <row r="871">
          <cell r="A871">
            <v>870</v>
          </cell>
          <cell r="B871" t="str">
            <v>PERNO  HILTI  GALVANIZADO</v>
          </cell>
          <cell r="C871" t="str">
            <v>EXPANSIVO 1/2" x 3 3/4"</v>
          </cell>
          <cell r="D871">
            <v>9.4700000000000006E-2</v>
          </cell>
          <cell r="E871">
            <v>9.4700000000000006E-2</v>
          </cell>
          <cell r="M871" t="str">
            <v>05.54.25.720.00</v>
          </cell>
          <cell r="P871" t="str">
            <v>S</v>
          </cell>
        </row>
        <row r="872">
          <cell r="A872">
            <v>871</v>
          </cell>
          <cell r="B872" t="str">
            <v>PERNO  HILTI  GALVANIZADO</v>
          </cell>
          <cell r="C872" t="str">
            <v>EXPANSIVO 1/2" x 4 1/2"</v>
          </cell>
          <cell r="D872">
            <v>0.1137</v>
          </cell>
          <cell r="E872">
            <v>0.1137</v>
          </cell>
          <cell r="M872" t="str">
            <v>05.54.25.724.00</v>
          </cell>
          <cell r="P872" t="str">
            <v>S</v>
          </cell>
        </row>
        <row r="873">
          <cell r="A873">
            <v>872</v>
          </cell>
          <cell r="B873" t="str">
            <v>PERNO  HILTI  GALVANIZADO</v>
          </cell>
          <cell r="C873" t="str">
            <v>EXPANSIVO 1/2" x 5 1/2"</v>
          </cell>
          <cell r="D873">
            <v>0.1389</v>
          </cell>
          <cell r="E873">
            <v>0.1389</v>
          </cell>
          <cell r="M873" t="str">
            <v>05.54.25.728.00</v>
          </cell>
          <cell r="P873" t="str">
            <v>S</v>
          </cell>
        </row>
        <row r="874">
          <cell r="A874">
            <v>873</v>
          </cell>
          <cell r="B874" t="str">
            <v>PERNO  HILTI  GALVANIZADO</v>
          </cell>
          <cell r="C874" t="str">
            <v>EXPANSIVO 1/2" x 7"</v>
          </cell>
          <cell r="D874">
            <v>0.17680000000000001</v>
          </cell>
          <cell r="E874">
            <v>0.17680000000000001</v>
          </cell>
          <cell r="M874" t="str">
            <v>05.54.25.734.0</v>
          </cell>
          <cell r="P874" t="str">
            <v>S</v>
          </cell>
        </row>
        <row r="875">
          <cell r="A875">
            <v>874</v>
          </cell>
          <cell r="B875" t="str">
            <v>PERNO  HILTI  GALVANIZADO</v>
          </cell>
          <cell r="C875" t="str">
            <v>EXPANSIVO 5/8" x 4 3/4"</v>
          </cell>
          <cell r="D875">
            <v>0.1875</v>
          </cell>
          <cell r="E875">
            <v>0.1875</v>
          </cell>
          <cell r="P875" t="str">
            <v>S</v>
          </cell>
        </row>
        <row r="876">
          <cell r="A876">
            <v>875</v>
          </cell>
          <cell r="B876" t="str">
            <v>PERNO  HILTI  GALVANIZADO</v>
          </cell>
          <cell r="C876" t="str">
            <v>EXPANSIVO 5/8" x 6"</v>
          </cell>
          <cell r="D876">
            <v>0.23680000000000001</v>
          </cell>
          <cell r="E876">
            <v>0.23680000000000001</v>
          </cell>
          <cell r="M876" t="str">
            <v>05.54.25.922.00</v>
          </cell>
          <cell r="P876" t="str">
            <v>S</v>
          </cell>
        </row>
        <row r="877">
          <cell r="A877">
            <v>876</v>
          </cell>
          <cell r="B877" t="str">
            <v>PERNO  HILTI  GALVANIZADO</v>
          </cell>
          <cell r="C877" t="str">
            <v>EXPANSIVO 3/4" x 4 3/4"</v>
          </cell>
          <cell r="D877">
            <v>0.26989999999999997</v>
          </cell>
          <cell r="E877">
            <v>0.26989999999999997</v>
          </cell>
          <cell r="M877" t="str">
            <v>05.54.26.025.01</v>
          </cell>
          <cell r="P877" t="str">
            <v>S</v>
          </cell>
        </row>
        <row r="878">
          <cell r="A878">
            <v>877</v>
          </cell>
          <cell r="B878" t="str">
            <v>PERNO  HILTI  GALVANIZADO</v>
          </cell>
          <cell r="C878" t="str">
            <v>EXPANSIVO 3/4" x 5 1/2"</v>
          </cell>
          <cell r="D878">
            <v>0.31259999999999999</v>
          </cell>
          <cell r="E878">
            <v>0.31259999999999999</v>
          </cell>
          <cell r="M878" t="str">
            <v>05.54.26.028.00</v>
          </cell>
          <cell r="P878" t="str">
            <v>S</v>
          </cell>
        </row>
        <row r="879">
          <cell r="A879">
            <v>878</v>
          </cell>
          <cell r="B879" t="str">
            <v>PERNO  HILTI  GALVANIZADO</v>
          </cell>
          <cell r="C879" t="str">
            <v>EXPANSIVO 3/4" x 8"</v>
          </cell>
          <cell r="D879">
            <v>0.4546</v>
          </cell>
          <cell r="E879">
            <v>0.4546</v>
          </cell>
          <cell r="P879" t="str">
            <v>S</v>
          </cell>
        </row>
        <row r="880">
          <cell r="A880">
            <v>879</v>
          </cell>
          <cell r="B880" t="str">
            <v>PERNO AUTOPERFORANTES</v>
          </cell>
          <cell r="C880" t="str">
            <v>PERNO AUTOPERF. 3/16" x 4"</v>
          </cell>
          <cell r="D880">
            <v>1.6E-2</v>
          </cell>
          <cell r="E880">
            <v>1.6E-2</v>
          </cell>
          <cell r="P880" t="str">
            <v>S</v>
          </cell>
        </row>
        <row r="881">
          <cell r="A881">
            <v>880</v>
          </cell>
          <cell r="B881" t="str">
            <v>PERNO AUTOPERFORANTES</v>
          </cell>
          <cell r="C881" t="str">
            <v>PERNO AUTOPERF. 3/16" x 2-1/2"</v>
          </cell>
          <cell r="D881">
            <v>0.01</v>
          </cell>
          <cell r="E881">
            <v>0.01</v>
          </cell>
          <cell r="P881" t="str">
            <v>S</v>
          </cell>
        </row>
        <row r="882">
          <cell r="A882">
            <v>881</v>
          </cell>
          <cell r="B882" t="str">
            <v>PERNO AUTOPERFORANTES</v>
          </cell>
          <cell r="C882" t="str">
            <v>PERNO AUTOPERF. 3/16" x 3/4"</v>
          </cell>
          <cell r="D882">
            <v>4.0000000000000001E-3</v>
          </cell>
          <cell r="E882">
            <v>4.0000000000000001E-3</v>
          </cell>
        </row>
        <row r="883">
          <cell r="A883">
            <v>882</v>
          </cell>
          <cell r="B883" t="str">
            <v xml:space="preserve">ARANDELA RELLENO </v>
          </cell>
          <cell r="C883" t="str">
            <v>Relleno para 14,5 e=4mm</v>
          </cell>
          <cell r="D883">
            <v>2.0799999999999999E-2</v>
          </cell>
          <cell r="E883">
            <v>2.0799999999999999E-2</v>
          </cell>
          <cell r="O883" t="str">
            <v>A36</v>
          </cell>
          <cell r="P883" t="str">
            <v>S</v>
          </cell>
        </row>
        <row r="884">
          <cell r="A884">
            <v>883</v>
          </cell>
          <cell r="B884" t="str">
            <v xml:space="preserve">ARANDELA RELLENO </v>
          </cell>
          <cell r="C884" t="str">
            <v>Relleno para 14,5 e=6mm</v>
          </cell>
          <cell r="D884">
            <v>2.5000000000000001E-2</v>
          </cell>
          <cell r="E884">
            <v>2.5000000000000001E-2</v>
          </cell>
          <cell r="O884" t="str">
            <v>A36</v>
          </cell>
          <cell r="P884" t="str">
            <v>S</v>
          </cell>
        </row>
        <row r="885">
          <cell r="A885">
            <v>884</v>
          </cell>
          <cell r="B885" t="str">
            <v xml:space="preserve">ARANDELA RELLENO </v>
          </cell>
          <cell r="C885" t="str">
            <v>Relleno para 14,5 e=8mm</v>
          </cell>
          <cell r="D885">
            <v>3.3300000000000003E-2</v>
          </cell>
          <cell r="E885">
            <v>3.3300000000000003E-2</v>
          </cell>
          <cell r="O885" t="str">
            <v>A36</v>
          </cell>
          <cell r="P885" t="str">
            <v>S</v>
          </cell>
        </row>
        <row r="886">
          <cell r="A886">
            <v>885</v>
          </cell>
          <cell r="B886" t="str">
            <v xml:space="preserve">ARANDELA RELLENO </v>
          </cell>
          <cell r="C886" t="str">
            <v>Relleno para 14,5 e=10mm</v>
          </cell>
          <cell r="D886">
            <v>4.1599999999999998E-2</v>
          </cell>
          <cell r="E886">
            <v>4.1599999999999998E-2</v>
          </cell>
          <cell r="O886" t="str">
            <v>A36</v>
          </cell>
          <cell r="P886" t="str">
            <v>S</v>
          </cell>
        </row>
        <row r="887">
          <cell r="A887">
            <v>886</v>
          </cell>
          <cell r="B887" t="str">
            <v xml:space="preserve">ARANDELA RELLENO </v>
          </cell>
          <cell r="C887" t="str">
            <v>Relleno para 14,5 e=12mm</v>
          </cell>
          <cell r="D887">
            <v>4.99E-2</v>
          </cell>
          <cell r="E887">
            <v>4.99E-2</v>
          </cell>
          <cell r="O887" t="str">
            <v>A36</v>
          </cell>
          <cell r="P887" t="str">
            <v>S</v>
          </cell>
        </row>
        <row r="888">
          <cell r="A888">
            <v>887</v>
          </cell>
          <cell r="B888" t="str">
            <v xml:space="preserve">ARANDELA RELLENO </v>
          </cell>
          <cell r="C888" t="str">
            <v>Relleno para 17,5/4mm</v>
          </cell>
          <cell r="D888">
            <v>3.9300000000000002E-2</v>
          </cell>
          <cell r="E888">
            <v>3.9300000000000002E-2</v>
          </cell>
          <cell r="O888" t="str">
            <v>A36</v>
          </cell>
          <cell r="P888" t="str">
            <v>S</v>
          </cell>
        </row>
        <row r="889">
          <cell r="A889">
            <v>888</v>
          </cell>
          <cell r="B889" t="str">
            <v xml:space="preserve">ARANDELA RELLENO </v>
          </cell>
          <cell r="C889" t="str">
            <v>Relleno para 17,5/6mm</v>
          </cell>
          <cell r="D889">
            <v>4.7199999999999999E-2</v>
          </cell>
          <cell r="E889">
            <v>4.7199999999999999E-2</v>
          </cell>
          <cell r="O889" t="str">
            <v>A36</v>
          </cell>
          <cell r="P889" t="str">
            <v>S</v>
          </cell>
        </row>
        <row r="890">
          <cell r="A890">
            <v>889</v>
          </cell>
          <cell r="B890" t="str">
            <v xml:space="preserve">ARANDELA RELLENO </v>
          </cell>
          <cell r="C890" t="str">
            <v>Relleno para 17,5/8mm</v>
          </cell>
          <cell r="D890">
            <v>6.2899999999999998E-2</v>
          </cell>
          <cell r="E890">
            <v>6.2899999999999998E-2</v>
          </cell>
          <cell r="O890" t="str">
            <v>A36</v>
          </cell>
          <cell r="P890" t="str">
            <v>S</v>
          </cell>
        </row>
        <row r="891">
          <cell r="A891">
            <v>890</v>
          </cell>
          <cell r="B891" t="str">
            <v xml:space="preserve">ARANDELA RELLENO </v>
          </cell>
          <cell r="C891" t="str">
            <v>Relleno para 17,5/10mm</v>
          </cell>
          <cell r="D891">
            <v>7.8700000000000006E-2</v>
          </cell>
          <cell r="E891">
            <v>7.8700000000000006E-2</v>
          </cell>
          <cell r="O891" t="str">
            <v>A36</v>
          </cell>
          <cell r="P891" t="str">
            <v>S</v>
          </cell>
        </row>
        <row r="892">
          <cell r="A892">
            <v>891</v>
          </cell>
          <cell r="B892" t="str">
            <v xml:space="preserve">ARANDELA RELLENO </v>
          </cell>
          <cell r="C892" t="str">
            <v>Relleno para 17,5/12mm</v>
          </cell>
          <cell r="D892">
            <v>9.4399999999999998E-2</v>
          </cell>
          <cell r="E892">
            <v>9.4399999999999998E-2</v>
          </cell>
          <cell r="O892" t="str">
            <v>A36</v>
          </cell>
          <cell r="P892" t="str">
            <v>S</v>
          </cell>
        </row>
        <row r="893">
          <cell r="A893">
            <v>892</v>
          </cell>
          <cell r="B893" t="str">
            <v>ALUMINIO PERFIL ANGULAR LAMINADO</v>
          </cell>
          <cell r="C893" t="str">
            <v>Aluminio L 75X12</v>
          </cell>
          <cell r="D893">
            <v>4.46</v>
          </cell>
          <cell r="E893">
            <v>4.46</v>
          </cell>
          <cell r="M893" t="str">
            <v>10.04.40.254.00</v>
          </cell>
          <cell r="P893" t="str">
            <v>S</v>
          </cell>
        </row>
        <row r="894">
          <cell r="A894">
            <v>893</v>
          </cell>
          <cell r="B894" t="str">
            <v>ALUMINIO PERFIL ANGULAR LAMINADO</v>
          </cell>
          <cell r="C894" t="str">
            <v>Aluminio L 51X6</v>
          </cell>
          <cell r="D894">
            <v>1.65</v>
          </cell>
          <cell r="E894">
            <v>1.65</v>
          </cell>
          <cell r="P894" t="str">
            <v>S</v>
          </cell>
        </row>
        <row r="895">
          <cell r="A895">
            <v>894</v>
          </cell>
          <cell r="B895" t="str">
            <v>ALUMINIO VARILLA REDONDA LISA (Laminado)</v>
          </cell>
          <cell r="C895" t="str">
            <v>Aluminio Eje diam 24.5</v>
          </cell>
          <cell r="D895">
            <v>1.3670967786050487</v>
          </cell>
          <cell r="E895">
            <v>1.3670967786050487</v>
          </cell>
          <cell r="P895" t="str">
            <v>S</v>
          </cell>
        </row>
        <row r="896">
          <cell r="A896">
            <v>895</v>
          </cell>
          <cell r="B896" t="str">
            <v>ALUMINIO PLACA</v>
          </cell>
          <cell r="C896" t="str">
            <v xml:space="preserve">Aluminio PLE 2mm </v>
          </cell>
          <cell r="D896">
            <v>5.3959999999999999</v>
          </cell>
          <cell r="E896">
            <v>5.3959999999999999</v>
          </cell>
          <cell r="M896" t="str">
            <v>10.54.40.230.00</v>
          </cell>
          <cell r="P896" t="str">
            <v>S</v>
          </cell>
        </row>
        <row r="897">
          <cell r="A897">
            <v>896</v>
          </cell>
          <cell r="B897" t="str">
            <v>ALUMINIO PLACA</v>
          </cell>
          <cell r="C897" t="str">
            <v xml:space="preserve">Aluminio PLE 12mm </v>
          </cell>
          <cell r="D897">
            <v>32.375999999999998</v>
          </cell>
          <cell r="E897">
            <v>32.375999999999998</v>
          </cell>
        </row>
        <row r="898">
          <cell r="A898">
            <v>897</v>
          </cell>
          <cell r="B898" t="str">
            <v>ALUMINIO PLACA</v>
          </cell>
          <cell r="C898" t="str">
            <v xml:space="preserve">Aluminio PLE 15mm </v>
          </cell>
          <cell r="D898">
            <v>40.47</v>
          </cell>
          <cell r="E898">
            <v>40.47</v>
          </cell>
        </row>
        <row r="899">
          <cell r="A899">
            <v>898</v>
          </cell>
          <cell r="B899" t="str">
            <v>ALUMINIO PLACA</v>
          </cell>
          <cell r="C899" t="str">
            <v xml:space="preserve">Aluminio PLE 25mm </v>
          </cell>
          <cell r="D899">
            <v>67.45</v>
          </cell>
          <cell r="E899">
            <v>67.45</v>
          </cell>
        </row>
        <row r="900">
          <cell r="A900">
            <v>899</v>
          </cell>
          <cell r="B900" t="str">
            <v>ALUMINIO PLACA</v>
          </cell>
          <cell r="C900" t="str">
            <v xml:space="preserve">Aluminio PLE 10mm </v>
          </cell>
          <cell r="D900">
            <v>26.98</v>
          </cell>
          <cell r="E900">
            <v>26.98</v>
          </cell>
          <cell r="M900" t="str">
            <v>10.54.40.360.00</v>
          </cell>
        </row>
        <row r="901">
          <cell r="A901">
            <v>900</v>
          </cell>
          <cell r="B901" t="str">
            <v>Herrajes</v>
          </cell>
          <cell r="C901" t="str">
            <v>Guardacabo 12.7</v>
          </cell>
          <cell r="D901">
            <v>0.1</v>
          </cell>
          <cell r="E901">
            <v>0.1</v>
          </cell>
        </row>
        <row r="902">
          <cell r="A902">
            <v>901</v>
          </cell>
          <cell r="B902" t="str">
            <v>Herrajes</v>
          </cell>
          <cell r="C902" t="str">
            <v>Guardacabo 9.5</v>
          </cell>
          <cell r="D902">
            <v>0.04</v>
          </cell>
          <cell r="E902">
            <v>0.04</v>
          </cell>
        </row>
        <row r="903">
          <cell r="A903">
            <v>902</v>
          </cell>
          <cell r="B903" t="str">
            <v>Herrajes</v>
          </cell>
          <cell r="C903" t="str">
            <v>Tool 1/32"</v>
          </cell>
          <cell r="D903">
            <v>6.28</v>
          </cell>
          <cell r="E903">
            <v>6.28</v>
          </cell>
        </row>
        <row r="904">
          <cell r="A904">
            <v>903</v>
          </cell>
          <cell r="B904" t="str">
            <v>Herrajes</v>
          </cell>
          <cell r="C904" t="str">
            <v>Grillete</v>
          </cell>
          <cell r="D904">
            <v>0.02</v>
          </cell>
          <cell r="E904">
            <v>0.02</v>
          </cell>
        </row>
        <row r="905">
          <cell r="A905">
            <v>904</v>
          </cell>
          <cell r="B905" t="str">
            <v>"C" PERFIL ESTRUCTURAL (Canal)</v>
          </cell>
          <cell r="C905" t="str">
            <v>C 150X75X6</v>
          </cell>
          <cell r="D905">
            <v>13</v>
          </cell>
          <cell r="E905">
            <v>13</v>
          </cell>
          <cell r="M905" t="str">
            <v>12.49.05.225.00</v>
          </cell>
        </row>
        <row r="906">
          <cell r="A906">
            <v>905</v>
          </cell>
          <cell r="B906" t="str">
            <v>PERNOS SAE</v>
          </cell>
          <cell r="C906" t="str">
            <v>PERNO 3/8" x 1 1/4"</v>
          </cell>
          <cell r="D906">
            <v>2.12E-2</v>
          </cell>
          <cell r="E906">
            <v>2.12E-2</v>
          </cell>
        </row>
        <row r="907">
          <cell r="A907">
            <v>906</v>
          </cell>
          <cell r="B907" t="str">
            <v>PERNOS SAE</v>
          </cell>
          <cell r="C907" t="str">
            <v>PERNO 3/8" x 1 1/2"</v>
          </cell>
          <cell r="D907">
            <v>2.5000000000000001E-2</v>
          </cell>
          <cell r="E907">
            <v>2.5000000000000001E-2</v>
          </cell>
        </row>
        <row r="908">
          <cell r="A908">
            <v>907</v>
          </cell>
          <cell r="B908" t="str">
            <v>TUBO ASTM - A 53, CEDULA 40 SIN COSTURA</v>
          </cell>
          <cell r="C908" t="str">
            <v>TUBO SCH40 1/4", e=2,24</v>
          </cell>
          <cell r="D908">
            <v>0.63</v>
          </cell>
          <cell r="E908">
            <v>0.63</v>
          </cell>
          <cell r="F908">
            <v>13.7</v>
          </cell>
          <cell r="H908">
            <v>2.2400000000000002</v>
          </cell>
          <cell r="K908">
            <v>43.039782999999993</v>
          </cell>
          <cell r="L908">
            <v>80.646128639999986</v>
          </cell>
          <cell r="O908" t="str">
            <v>A53</v>
          </cell>
          <cell r="P908" t="str">
            <v>N</v>
          </cell>
        </row>
        <row r="909">
          <cell r="A909">
            <v>908</v>
          </cell>
          <cell r="B909" t="str">
            <v>TUBO ASTM - A 53, CEDULA 40 SIN COSTURA</v>
          </cell>
          <cell r="C909" t="str">
            <v>TUBO SCH40 3/8", e=2,31</v>
          </cell>
          <cell r="D909">
            <v>0.85</v>
          </cell>
          <cell r="E909">
            <v>0.85</v>
          </cell>
          <cell r="F909">
            <v>17.100000000000001</v>
          </cell>
          <cell r="H909">
            <v>2.31</v>
          </cell>
          <cell r="K909">
            <v>53.721189000000003</v>
          </cell>
          <cell r="L909">
            <v>107.33244984000001</v>
          </cell>
          <cell r="M909" t="str">
            <v>15.10.35.025.00</v>
          </cell>
          <cell r="O909" t="str">
            <v>A53</v>
          </cell>
          <cell r="P909" t="str">
            <v>N</v>
          </cell>
        </row>
        <row r="910">
          <cell r="A910">
            <v>909</v>
          </cell>
          <cell r="B910" t="str">
            <v>TUBO ASTM - A 53, CEDULA 40 SIN COSTURA</v>
          </cell>
          <cell r="C910" t="str">
            <v>TUBO SCH40 1/2", e= 2,77</v>
          </cell>
          <cell r="D910">
            <v>1.27</v>
          </cell>
          <cell r="E910">
            <v>1.27</v>
          </cell>
          <cell r="F910">
            <v>21.3</v>
          </cell>
          <cell r="H910">
            <v>2.77</v>
          </cell>
          <cell r="K910">
            <v>66.915867000000006</v>
          </cell>
          <cell r="L910">
            <v>161.25235895999998</v>
          </cell>
          <cell r="M910" t="str">
            <v>15.10.35.035.00</v>
          </cell>
          <cell r="O910" t="str">
            <v>A53</v>
          </cell>
          <cell r="P910" t="str">
            <v>N</v>
          </cell>
        </row>
        <row r="911">
          <cell r="A911">
            <v>910</v>
          </cell>
          <cell r="B911" t="str">
            <v>TUBO ASTM - A 53, CEDULA 40 SIN COSTURA</v>
          </cell>
          <cell r="C911" t="str">
            <v>TUBO SCH40 3/4", e=2,87</v>
          </cell>
          <cell r="D911">
            <v>1.6900000000000002</v>
          </cell>
          <cell r="E911">
            <v>1.6900000000000002</v>
          </cell>
          <cell r="F911">
            <v>26.7</v>
          </cell>
          <cell r="H911">
            <v>2.87</v>
          </cell>
          <cell r="K911">
            <v>83.880452999999989</v>
          </cell>
          <cell r="L911">
            <v>214.86062135999995</v>
          </cell>
          <cell r="M911" t="str">
            <v>15.10.35.055.00</v>
          </cell>
          <cell r="O911" t="str">
            <v>A53</v>
          </cell>
          <cell r="P911" t="str">
            <v>N</v>
          </cell>
        </row>
        <row r="912">
          <cell r="A912">
            <v>911</v>
          </cell>
          <cell r="B912" t="str">
            <v>TUBO ASTM - A 53, CEDULA 40 SIN COSTURA</v>
          </cell>
          <cell r="C912" t="str">
            <v>TUBO SCH40 1", e= 3,38</v>
          </cell>
          <cell r="D912">
            <v>2.5</v>
          </cell>
          <cell r="E912">
            <v>2.5</v>
          </cell>
          <cell r="F912">
            <v>33.4</v>
          </cell>
          <cell r="H912">
            <v>3.38</v>
          </cell>
          <cell r="K912">
            <v>104.92910599999999</v>
          </cell>
          <cell r="L912">
            <v>318.77061215999993</v>
          </cell>
          <cell r="M912" t="str">
            <v>15.10.35.075.00</v>
          </cell>
          <cell r="O912" t="str">
            <v>A53</v>
          </cell>
          <cell r="P912" t="str">
            <v>S</v>
          </cell>
        </row>
        <row r="913">
          <cell r="A913">
            <v>912</v>
          </cell>
          <cell r="B913" t="str">
            <v>TUBO ASTM - A 53, CEDULA 40 SIN COSTURA</v>
          </cell>
          <cell r="C913" t="str">
            <v>TUBO SCH40 1 1/4", e= 3,56</v>
          </cell>
          <cell r="D913">
            <v>3.39</v>
          </cell>
          <cell r="E913">
            <v>3.39</v>
          </cell>
          <cell r="F913">
            <v>42.2</v>
          </cell>
          <cell r="H913">
            <v>3.56</v>
          </cell>
          <cell r="K913">
            <v>132.575098</v>
          </cell>
          <cell r="L913">
            <v>432.15346943999981</v>
          </cell>
          <cell r="M913" t="str">
            <v>15.10.35.095.00</v>
          </cell>
          <cell r="O913" t="str">
            <v>A53</v>
          </cell>
          <cell r="P913" t="str">
            <v>S</v>
          </cell>
        </row>
        <row r="914">
          <cell r="A914">
            <v>913</v>
          </cell>
          <cell r="B914" t="str">
            <v>TUBO ASTM - A 53, CEDULA 40 SIN COSTURA</v>
          </cell>
          <cell r="C914" t="str">
            <v>TUBO SCH40 1 1/2", e= 3,68</v>
          </cell>
          <cell r="D914">
            <v>4.05</v>
          </cell>
          <cell r="E914">
            <v>4.05</v>
          </cell>
          <cell r="F914">
            <v>48.3</v>
          </cell>
          <cell r="H914">
            <v>3.68</v>
          </cell>
          <cell r="K914">
            <v>151.73879699999998</v>
          </cell>
          <cell r="L914">
            <v>515.85574656000017</v>
          </cell>
          <cell r="M914" t="str">
            <v>15.10.35.115.00</v>
          </cell>
          <cell r="O914" t="str">
            <v>A53</v>
          </cell>
          <cell r="P914" t="str">
            <v>S</v>
          </cell>
        </row>
        <row r="915">
          <cell r="A915">
            <v>914</v>
          </cell>
          <cell r="B915" t="str">
            <v>TUBO ASTM - A 53, CEDULA 40 SIN COSTURA</v>
          </cell>
          <cell r="C915" t="str">
            <v>TUBO SCH40 2", e= 3,91</v>
          </cell>
          <cell r="D915">
            <v>5.44</v>
          </cell>
          <cell r="E915">
            <v>5.44</v>
          </cell>
          <cell r="F915">
            <v>60.3</v>
          </cell>
          <cell r="H915">
            <v>3.91</v>
          </cell>
          <cell r="K915">
            <v>189.43787699999999</v>
          </cell>
          <cell r="L915">
            <v>692.67536184000016</v>
          </cell>
          <cell r="M915" t="str">
            <v>15.10.35.135.00</v>
          </cell>
          <cell r="O915" t="str">
            <v>A53</v>
          </cell>
          <cell r="P915" t="str">
            <v>S</v>
          </cell>
        </row>
        <row r="916">
          <cell r="A916">
            <v>915</v>
          </cell>
          <cell r="B916" t="str">
            <v>TUBO ASTM - A 53, CEDULA 40 SIN COSTURA</v>
          </cell>
          <cell r="C916" t="str">
            <v>TUBO SCH40 2 1/2", e= 5,16</v>
          </cell>
          <cell r="D916">
            <v>8.6199999999999992</v>
          </cell>
          <cell r="E916">
            <v>8.6199999999999992</v>
          </cell>
          <cell r="F916">
            <v>73</v>
          </cell>
          <cell r="H916">
            <v>5.16</v>
          </cell>
          <cell r="K916">
            <v>229.33606999999998</v>
          </cell>
          <cell r="L916">
            <v>1099.7309030399999</v>
          </cell>
          <cell r="M916" t="str">
            <v>15.10.35.155.00</v>
          </cell>
          <cell r="O916" t="str">
            <v>A53</v>
          </cell>
          <cell r="P916" t="str">
            <v>S</v>
          </cell>
        </row>
        <row r="917">
          <cell r="A917">
            <v>916</v>
          </cell>
          <cell r="B917" t="str">
            <v>TUBO ASTM - A 53, CEDULA 40 SIN COSTURA</v>
          </cell>
          <cell r="C917" t="str">
            <v>TUBO SCH40 3", e= 5,49</v>
          </cell>
          <cell r="D917">
            <v>11.29</v>
          </cell>
          <cell r="E917">
            <v>11.29</v>
          </cell>
          <cell r="F917">
            <v>88.9</v>
          </cell>
          <cell r="H917">
            <v>5.49</v>
          </cell>
          <cell r="K917">
            <v>279.287351</v>
          </cell>
          <cell r="L917">
            <v>1438.6042994400002</v>
          </cell>
          <cell r="M917" t="str">
            <v>15.10.35.175.00</v>
          </cell>
          <cell r="O917" t="str">
            <v>A53</v>
          </cell>
          <cell r="P917" t="str">
            <v>S</v>
          </cell>
        </row>
        <row r="918">
          <cell r="A918">
            <v>917</v>
          </cell>
          <cell r="B918" t="str">
            <v>TUBO ASTM - A 53, CEDULA 40 SIN COSTURA</v>
          </cell>
          <cell r="C918" t="str">
            <v>TUBO SCH40 3 1/2", e= 5,74</v>
          </cell>
          <cell r="D918">
            <v>13.57</v>
          </cell>
          <cell r="E918">
            <v>13.57</v>
          </cell>
          <cell r="F918">
            <v>101.6</v>
          </cell>
          <cell r="H918">
            <v>5.74</v>
          </cell>
          <cell r="K918">
            <v>319.18554399999999</v>
          </cell>
          <cell r="L918">
            <v>1728.6226742400006</v>
          </cell>
          <cell r="M918" t="str">
            <v>15.10.35.195.00</v>
          </cell>
          <cell r="O918" t="str">
            <v>A53</v>
          </cell>
          <cell r="P918" t="str">
            <v>S</v>
          </cell>
        </row>
        <row r="919">
          <cell r="A919">
            <v>918</v>
          </cell>
          <cell r="B919" t="str">
            <v>TUBO ASTM - A 53, CEDULA 40 SIN COSTURA</v>
          </cell>
          <cell r="C919" t="str">
            <v>TUBO SCH40  4", e= 6,02</v>
          </cell>
          <cell r="D919">
            <v>16.07</v>
          </cell>
          <cell r="E919">
            <v>16.07</v>
          </cell>
          <cell r="F919">
            <v>114.3</v>
          </cell>
          <cell r="H919">
            <v>6.02</v>
          </cell>
          <cell r="K919">
            <v>359.08373699999999</v>
          </cell>
          <cell r="L919">
            <v>2047.8381369600017</v>
          </cell>
          <cell r="M919" t="str">
            <v>15.10.35.215.00</v>
          </cell>
          <cell r="O919" t="str">
            <v>A53</v>
          </cell>
          <cell r="P919" t="str">
            <v>S</v>
          </cell>
        </row>
        <row r="920">
          <cell r="A920">
            <v>919</v>
          </cell>
          <cell r="B920" t="str">
            <v>TUBO ASTM - A 53, CEDULA 40 SIN COSTURA</v>
          </cell>
          <cell r="C920" t="str">
            <v>TUBO SCH40 5", e= 6,55</v>
          </cell>
          <cell r="D920">
            <v>21.78</v>
          </cell>
          <cell r="E920">
            <v>21.78</v>
          </cell>
          <cell r="F920">
            <v>141.30000000000001</v>
          </cell>
          <cell r="H920">
            <v>6.55</v>
          </cell>
          <cell r="K920">
            <v>443.90666700000003</v>
          </cell>
          <cell r="L920">
            <v>2772.8154299999978</v>
          </cell>
          <cell r="M920" t="str">
            <v>15.10.35.240.00</v>
          </cell>
          <cell r="O920" t="str">
            <v>A53</v>
          </cell>
          <cell r="P920" t="str">
            <v>N</v>
          </cell>
        </row>
        <row r="921">
          <cell r="A921">
            <v>920</v>
          </cell>
          <cell r="B921" t="str">
            <v>TUBO ASTM - A 53, CEDULA 40 SIN COSTURA</v>
          </cell>
          <cell r="C921" t="str">
            <v>TUBO SCH40 6", e= 7,11</v>
          </cell>
          <cell r="D921">
            <v>28.26</v>
          </cell>
          <cell r="E921">
            <v>28.26</v>
          </cell>
          <cell r="F921">
            <v>168.3</v>
          </cell>
          <cell r="H921">
            <v>7.11</v>
          </cell>
          <cell r="K921">
            <v>528.72959700000001</v>
          </cell>
          <cell r="L921">
            <v>3600.4649234399985</v>
          </cell>
          <cell r="M921" t="str">
            <v>15.10.35.265.01</v>
          </cell>
          <cell r="O921" t="str">
            <v>A53</v>
          </cell>
          <cell r="P921" t="str">
            <v>N</v>
          </cell>
        </row>
        <row r="922">
          <cell r="A922">
            <v>921</v>
          </cell>
          <cell r="B922" t="str">
            <v>TUBO ASTM - A 53, CEDULA 40 SIN COSTURA</v>
          </cell>
          <cell r="C922" t="str">
            <v>TUBO SCH40 8", e= 8,18</v>
          </cell>
          <cell r="D922">
            <v>42.53</v>
          </cell>
          <cell r="E922">
            <v>42.53</v>
          </cell>
          <cell r="F922">
            <v>219.1</v>
          </cell>
          <cell r="H922">
            <v>8.18</v>
          </cell>
          <cell r="K922">
            <v>688.32236899999998</v>
          </cell>
          <cell r="L922">
            <v>5420.282904959995</v>
          </cell>
          <cell r="M922" t="str">
            <v>15.10.35.300.00</v>
          </cell>
          <cell r="O922" t="str">
            <v>A53</v>
          </cell>
          <cell r="P922" t="str">
            <v>N</v>
          </cell>
        </row>
        <row r="923">
          <cell r="A923">
            <v>922</v>
          </cell>
          <cell r="B923" t="str">
            <v>TUBO ASTM - A 53, CEDULA 40 SIN COSTURA</v>
          </cell>
          <cell r="C923" t="str">
            <v>TUBO SCH40 10", e= 9,27</v>
          </cell>
          <cell r="D923">
            <v>60.29</v>
          </cell>
          <cell r="E923">
            <v>60.29</v>
          </cell>
          <cell r="F923">
            <v>273</v>
          </cell>
          <cell r="H923">
            <v>9.27</v>
          </cell>
          <cell r="K923">
            <v>857.65406999999993</v>
          </cell>
          <cell r="L923">
            <v>7680.5117373599978</v>
          </cell>
          <cell r="M923" t="str">
            <v>15.10.35.350.00</v>
          </cell>
          <cell r="O923" t="str">
            <v>A53</v>
          </cell>
          <cell r="P923" t="str">
            <v>N</v>
          </cell>
        </row>
        <row r="924">
          <cell r="A924">
            <v>923</v>
          </cell>
          <cell r="B924" t="str">
            <v>TUBO ASTM - A 53, CEDULA 40 SIN COSTURA</v>
          </cell>
          <cell r="C924" t="str">
            <v>TUBO SCH40 12", e= 10,31</v>
          </cell>
          <cell r="D924">
            <v>79.650000000000006</v>
          </cell>
          <cell r="E924">
            <v>79.650000000000006</v>
          </cell>
          <cell r="F924">
            <v>323.8</v>
          </cell>
          <cell r="H924">
            <v>10.31</v>
          </cell>
          <cell r="K924">
            <v>1017.246842</v>
          </cell>
          <cell r="L924">
            <v>10153.908497040004</v>
          </cell>
          <cell r="M924" t="str">
            <v>15.10.35.395.00</v>
          </cell>
          <cell r="O924" t="str">
            <v>A53</v>
          </cell>
          <cell r="P924" t="str">
            <v>N</v>
          </cell>
        </row>
        <row r="925">
          <cell r="A925">
            <v>924</v>
          </cell>
          <cell r="B925" t="str">
            <v>TUBO ASTM - A 53, CEDULA 80 SIN COSTURA</v>
          </cell>
          <cell r="C925" t="str">
            <v>TUBO SCH80 1/4", e= 3,02</v>
          </cell>
          <cell r="D925">
            <v>0.8</v>
          </cell>
          <cell r="E925">
            <v>0.8</v>
          </cell>
          <cell r="F925">
            <v>13.7</v>
          </cell>
          <cell r="H925">
            <v>3.02</v>
          </cell>
          <cell r="K925">
            <v>43.039782999999993</v>
          </cell>
          <cell r="L925">
            <v>101.32790975999997</v>
          </cell>
          <cell r="O925" t="str">
            <v>A53</v>
          </cell>
          <cell r="P925" t="str">
            <v>N</v>
          </cell>
        </row>
        <row r="926">
          <cell r="A926">
            <v>925</v>
          </cell>
          <cell r="B926" t="str">
            <v>TUBO ASTM - A 53, CEDULA 80 SIN COSTURA</v>
          </cell>
          <cell r="C926" t="str">
            <v>TUBO SCH80 3/8", e= 3,20</v>
          </cell>
          <cell r="D926">
            <v>1.1000000000000001</v>
          </cell>
          <cell r="E926">
            <v>1.1000000000000001</v>
          </cell>
          <cell r="F926">
            <v>17.100000000000001</v>
          </cell>
          <cell r="H926">
            <v>3.2</v>
          </cell>
          <cell r="K926">
            <v>53.721189000000003</v>
          </cell>
          <cell r="L926">
            <v>139.73836800000001</v>
          </cell>
          <cell r="O926" t="str">
            <v>A53</v>
          </cell>
          <cell r="P926" t="str">
            <v>N</v>
          </cell>
        </row>
        <row r="927">
          <cell r="A927">
            <v>926</v>
          </cell>
          <cell r="B927" t="str">
            <v>TUBO ASTM - A 53, CEDULA 80 SIN COSTURA</v>
          </cell>
          <cell r="C927" t="str">
            <v>TUBO SCH80 1/2", e= 3,73</v>
          </cell>
          <cell r="D927">
            <v>1.62</v>
          </cell>
          <cell r="E927">
            <v>1.62</v>
          </cell>
          <cell r="F927">
            <v>21.3</v>
          </cell>
          <cell r="H927">
            <v>3.73</v>
          </cell>
          <cell r="K927">
            <v>66.915867000000006</v>
          </cell>
          <cell r="L927">
            <v>205.88821176000002</v>
          </cell>
          <cell r="M927" t="str">
            <v>15.10.55.040.00</v>
          </cell>
          <cell r="O927" t="str">
            <v>A53</v>
          </cell>
          <cell r="P927" t="str">
            <v>N</v>
          </cell>
        </row>
        <row r="928">
          <cell r="A928">
            <v>927</v>
          </cell>
          <cell r="B928" t="str">
            <v>TUBO ASTM - A 53, CEDULA 80 SIN COSTURA</v>
          </cell>
          <cell r="C928" t="str">
            <v>TUBO SCH80 3/4", e= 3,91</v>
          </cell>
          <cell r="D928">
            <v>2.19</v>
          </cell>
          <cell r="E928">
            <v>2.19</v>
          </cell>
          <cell r="F928">
            <v>26.7</v>
          </cell>
          <cell r="H928">
            <v>3.91</v>
          </cell>
          <cell r="K928">
            <v>83.880452999999989</v>
          </cell>
          <cell r="L928">
            <v>279.94452024000003</v>
          </cell>
          <cell r="O928" t="str">
            <v>A53</v>
          </cell>
          <cell r="P928" t="str">
            <v>N</v>
          </cell>
        </row>
        <row r="929">
          <cell r="A929">
            <v>928</v>
          </cell>
          <cell r="B929" t="str">
            <v>TUBO ASTM - A 53, CEDULA 80 SIN COSTURA</v>
          </cell>
          <cell r="C929" t="str">
            <v>TUBO SCH80 1", e= 4,55</v>
          </cell>
          <cell r="D929">
            <v>3.23</v>
          </cell>
          <cell r="E929">
            <v>3.23</v>
          </cell>
          <cell r="F929">
            <v>33.4</v>
          </cell>
          <cell r="H929">
            <v>4.55</v>
          </cell>
          <cell r="K929">
            <v>104.92910599999999</v>
          </cell>
          <cell r="L929">
            <v>412.38997800000004</v>
          </cell>
          <cell r="M929" t="str">
            <v>15.10.55.080.00</v>
          </cell>
          <cell r="O929" t="str">
            <v>A53</v>
          </cell>
          <cell r="P929" t="str">
            <v>N</v>
          </cell>
        </row>
        <row r="930">
          <cell r="A930">
            <v>929</v>
          </cell>
          <cell r="B930" t="str">
            <v>TUBO ASTM - A 53, CEDULA 80 SIN COSTURA</v>
          </cell>
          <cell r="C930" t="str">
            <v>TUBO SCH80 1 1/4", e= 4,85</v>
          </cell>
          <cell r="D930">
            <v>4.47</v>
          </cell>
          <cell r="E930">
            <v>4.47</v>
          </cell>
          <cell r="F930">
            <v>42.2</v>
          </cell>
          <cell r="H930">
            <v>4.8499999999999996</v>
          </cell>
          <cell r="K930">
            <v>132.575098</v>
          </cell>
          <cell r="L930">
            <v>569.09298600000011</v>
          </cell>
          <cell r="M930" t="str">
            <v>15.10.55.100.00</v>
          </cell>
          <cell r="O930" t="str">
            <v>A53</v>
          </cell>
          <cell r="P930" t="str">
            <v>N</v>
          </cell>
        </row>
        <row r="931">
          <cell r="A931">
            <v>930</v>
          </cell>
          <cell r="B931" t="str">
            <v>TUBO ASTM - A 53, CEDULA 80 SIN COSTURA</v>
          </cell>
          <cell r="C931" t="str">
            <v>TUBO SCH80 1 1/2", e= 5,08</v>
          </cell>
          <cell r="D931">
            <v>5.41</v>
          </cell>
          <cell r="E931">
            <v>5.41</v>
          </cell>
          <cell r="F931">
            <v>48.3</v>
          </cell>
          <cell r="H931">
            <v>5.08</v>
          </cell>
          <cell r="K931">
            <v>151.73879699999998</v>
          </cell>
          <cell r="L931">
            <v>689.7621561599999</v>
          </cell>
          <cell r="M931" t="str">
            <v>15.10.55.120.00</v>
          </cell>
          <cell r="O931" t="str">
            <v>A53</v>
          </cell>
          <cell r="P931" t="str">
            <v>N</v>
          </cell>
        </row>
        <row r="932">
          <cell r="A932">
            <v>931</v>
          </cell>
          <cell r="B932" t="str">
            <v>TUBO ASTM - A 53, CEDULA 80 SIN COSTURA</v>
          </cell>
          <cell r="C932" t="str">
            <v>TUBO SCH80 2", e= 5,54</v>
          </cell>
          <cell r="D932">
            <v>7.48</v>
          </cell>
          <cell r="E932">
            <v>7.48</v>
          </cell>
          <cell r="F932">
            <v>60.3</v>
          </cell>
          <cell r="H932">
            <v>5.54</v>
          </cell>
          <cell r="K932">
            <v>189.43787699999999</v>
          </cell>
          <cell r="L932">
            <v>953.0684486399997</v>
          </cell>
          <cell r="M932" t="str">
            <v>15.10.55.140.00</v>
          </cell>
          <cell r="O932" t="str">
            <v>A53</v>
          </cell>
          <cell r="P932" t="str">
            <v>N</v>
          </cell>
        </row>
        <row r="933">
          <cell r="A933">
            <v>932</v>
          </cell>
          <cell r="B933" t="str">
            <v>TUBO ASTM - A 53, CEDULA 80 SIN COSTURA</v>
          </cell>
          <cell r="C933" t="str">
            <v>TUBO SCH80 2 1/2", e= 7,01</v>
          </cell>
          <cell r="D933">
            <v>11.41</v>
          </cell>
          <cell r="E933">
            <v>11.41</v>
          </cell>
          <cell r="F933">
            <v>73</v>
          </cell>
          <cell r="H933">
            <v>7.01</v>
          </cell>
          <cell r="K933">
            <v>229.33606999999998</v>
          </cell>
          <cell r="L933">
            <v>1453.2724298399994</v>
          </cell>
          <cell r="O933" t="str">
            <v>A53</v>
          </cell>
          <cell r="P933" t="str">
            <v>N</v>
          </cell>
        </row>
        <row r="934">
          <cell r="A934">
            <v>933</v>
          </cell>
          <cell r="B934" t="str">
            <v>TUBO ASTM - A 53, CEDULA 80 SIN COSTURA</v>
          </cell>
          <cell r="C934" t="str">
            <v>TUBO SCH80 3", e= 7,62</v>
          </cell>
          <cell r="D934">
            <v>15.27</v>
          </cell>
          <cell r="E934">
            <v>15.27</v>
          </cell>
          <cell r="F934">
            <v>88.899999999999991</v>
          </cell>
          <cell r="H934">
            <v>7.62</v>
          </cell>
          <cell r="K934">
            <v>279.28735099999994</v>
          </cell>
          <cell r="L934">
            <v>1945.7612697599991</v>
          </cell>
          <cell r="O934" t="str">
            <v>A53</v>
          </cell>
          <cell r="P934" t="str">
            <v>N</v>
          </cell>
        </row>
        <row r="935">
          <cell r="A935">
            <v>934</v>
          </cell>
          <cell r="B935" t="str">
            <v>TUBO ASTM - A 53, CEDULA 80 SIN COSTURA</v>
          </cell>
          <cell r="C935" t="str">
            <v>TUBO SCH80 4", e= 8,56</v>
          </cell>
          <cell r="D935">
            <v>22.31</v>
          </cell>
          <cell r="E935">
            <v>22.31</v>
          </cell>
          <cell r="F935">
            <v>114.3</v>
          </cell>
          <cell r="H935">
            <v>8.56</v>
          </cell>
          <cell r="K935">
            <v>359.08373699999999</v>
          </cell>
          <cell r="L935">
            <v>2843.5702310400011</v>
          </cell>
          <cell r="O935" t="str">
            <v>A53</v>
          </cell>
          <cell r="P935" t="str">
            <v>N</v>
          </cell>
        </row>
        <row r="936">
          <cell r="A936">
            <v>935</v>
          </cell>
          <cell r="B936" t="str">
            <v>TUBO ASTM - A 53, CEDULA 80 SIN COSTURA</v>
          </cell>
          <cell r="C936" t="str">
            <v>TUBO SCH80 6", e= 10,97</v>
          </cell>
          <cell r="D936">
            <v>42.56</v>
          </cell>
          <cell r="E936">
            <v>42.56</v>
          </cell>
          <cell r="F936">
            <v>168.3</v>
          </cell>
          <cell r="H936">
            <v>10.97</v>
          </cell>
          <cell r="K936">
            <v>528.72959700000001</v>
          </cell>
          <cell r="L936">
            <v>5422.1191701600001</v>
          </cell>
          <cell r="O936" t="str">
            <v>A53</v>
          </cell>
          <cell r="P936" t="str">
            <v>N</v>
          </cell>
        </row>
        <row r="937">
          <cell r="A937">
            <v>936</v>
          </cell>
          <cell r="B937" t="str">
            <v>EJE DE TRANSMISIÓN SAE 1020</v>
          </cell>
          <cell r="C937" t="str">
            <v>EJE SAE 1020 ø 1/4"</v>
          </cell>
          <cell r="D937">
            <v>0.24860393827499996</v>
          </cell>
          <cell r="E937">
            <v>0.24860393827499996</v>
          </cell>
          <cell r="F937">
            <v>6.35</v>
          </cell>
          <cell r="K937">
            <v>19.9490965</v>
          </cell>
          <cell r="L937">
            <v>31.669291499999996</v>
          </cell>
          <cell r="O937" t="str">
            <v>SAE 1020</v>
          </cell>
          <cell r="P937" t="str">
            <v>N</v>
          </cell>
        </row>
        <row r="938">
          <cell r="A938">
            <v>937</v>
          </cell>
          <cell r="B938" t="str">
            <v>EJE DE TRANSMISIÓN SAE 1020</v>
          </cell>
          <cell r="C938" t="str">
            <v>EJE SAE 1020 ø 5/16"</v>
          </cell>
          <cell r="D938">
            <v>0.38844365355468746</v>
          </cell>
          <cell r="E938">
            <v>0.38844365355468746</v>
          </cell>
          <cell r="F938">
            <v>7.9375</v>
          </cell>
          <cell r="K938">
            <v>24.936370624999999</v>
          </cell>
          <cell r="L938">
            <v>49.483267968749999</v>
          </cell>
          <cell r="O938" t="str">
            <v>SAE 1020</v>
          </cell>
          <cell r="P938" t="str">
            <v>N</v>
          </cell>
        </row>
        <row r="939">
          <cell r="A939">
            <v>938</v>
          </cell>
          <cell r="B939" t="str">
            <v>EJE DE TRANSMISIÓN SAE 1020</v>
          </cell>
          <cell r="C939" t="str">
            <v>EJE SAE 1020 ø 3/8"</v>
          </cell>
          <cell r="D939">
            <v>0.55935886111874977</v>
          </cell>
          <cell r="E939">
            <v>0.55935886111874977</v>
          </cell>
          <cell r="F939">
            <v>9.5249999999999986</v>
          </cell>
          <cell r="K939">
            <v>29.923644749999994</v>
          </cell>
          <cell r="L939">
            <v>71.255905874999982</v>
          </cell>
          <cell r="O939" t="str">
            <v>SAE 1020</v>
          </cell>
          <cell r="P939" t="str">
            <v>N</v>
          </cell>
        </row>
        <row r="940">
          <cell r="A940">
            <v>939</v>
          </cell>
          <cell r="B940" t="str">
            <v>EJE DE TRANSMISIÓN SAE 1020</v>
          </cell>
          <cell r="C940" t="str">
            <v>EJE SAE 1020 ø 1/2"</v>
          </cell>
          <cell r="D940">
            <v>0.99441575309999986</v>
          </cell>
          <cell r="E940">
            <v>0.99441575309999986</v>
          </cell>
          <cell r="F940">
            <v>12.7</v>
          </cell>
          <cell r="K940">
            <v>39.898192999999999</v>
          </cell>
          <cell r="L940">
            <v>126.67716599999999</v>
          </cell>
          <cell r="O940" t="str">
            <v>SAE 1020</v>
          </cell>
          <cell r="P940" t="str">
            <v>S</v>
          </cell>
        </row>
        <row r="941">
          <cell r="A941">
            <v>940</v>
          </cell>
          <cell r="B941" t="str">
            <v>EJE DE TRANSMISIÓN SAE 1020</v>
          </cell>
          <cell r="C941" t="str">
            <v>EJE SAE 1020 ø 9/16"</v>
          </cell>
          <cell r="D941">
            <v>0.99441575309999986</v>
          </cell>
          <cell r="E941">
            <v>0.99441575309999986</v>
          </cell>
          <cell r="F941">
            <v>12.7</v>
          </cell>
          <cell r="K941">
            <v>39.898192999999999</v>
          </cell>
          <cell r="L941">
            <v>126.67716599999999</v>
          </cell>
          <cell r="O941" t="str">
            <v>SAE 1020</v>
          </cell>
          <cell r="P941" t="str">
            <v>S</v>
          </cell>
        </row>
        <row r="942">
          <cell r="A942">
            <v>941</v>
          </cell>
          <cell r="B942" t="str">
            <v>EJE DE TRANSMISIÓN SAE 1020</v>
          </cell>
          <cell r="C942" t="str">
            <v>EJE SAE 1020 ø 5/8"</v>
          </cell>
          <cell r="D942">
            <v>1.5537746142187498</v>
          </cell>
          <cell r="E942">
            <v>1.5537746142187498</v>
          </cell>
          <cell r="F942">
            <v>15.875</v>
          </cell>
          <cell r="K942">
            <v>49.872741249999997</v>
          </cell>
          <cell r="L942">
            <v>197.933071875</v>
          </cell>
          <cell r="O942" t="str">
            <v>SAE 1020</v>
          </cell>
          <cell r="P942" t="str">
            <v>S</v>
          </cell>
        </row>
        <row r="943">
          <cell r="A943">
            <v>942</v>
          </cell>
          <cell r="B943" t="str">
            <v>EJE DE TRANSMISIÓN SAE 1020</v>
          </cell>
          <cell r="C943" t="str">
            <v>EJE SAE 1020 ø 3/4"</v>
          </cell>
          <cell r="D943">
            <v>2.2374354444749991</v>
          </cell>
          <cell r="E943">
            <v>2.2374354444749991</v>
          </cell>
          <cell r="F943">
            <v>19.049999999999997</v>
          </cell>
          <cell r="K943">
            <v>59.847289499999988</v>
          </cell>
          <cell r="L943">
            <v>285.02362349999993</v>
          </cell>
          <cell r="O943" t="str">
            <v>SAE 1020</v>
          </cell>
          <cell r="P943" t="str">
            <v>S</v>
          </cell>
        </row>
        <row r="944">
          <cell r="A944">
            <v>943</v>
          </cell>
          <cell r="B944" t="str">
            <v>EJE DE TRANSMISIÓN SAE 1020</v>
          </cell>
          <cell r="C944" t="str">
            <v>EJE SAE 1020 ø 7/8"</v>
          </cell>
          <cell r="D944">
            <v>3.0453982438687492</v>
          </cell>
          <cell r="E944">
            <v>3.0453982438687492</v>
          </cell>
          <cell r="F944">
            <v>22.224999999999998</v>
          </cell>
          <cell r="K944">
            <v>69.821837749999986</v>
          </cell>
          <cell r="L944">
            <v>387.94882087499991</v>
          </cell>
          <cell r="O944" t="str">
            <v>SAE 1020</v>
          </cell>
          <cell r="P944" t="str">
            <v>S</v>
          </cell>
        </row>
        <row r="945">
          <cell r="A945">
            <v>944</v>
          </cell>
          <cell r="B945" t="str">
            <v>EJE DE TRANSMISIÓN SAE 1020</v>
          </cell>
          <cell r="C945" t="str">
            <v>EJE SAE 1020 ø 1"</v>
          </cell>
          <cell r="D945">
            <v>3.9776630123999994</v>
          </cell>
          <cell r="E945">
            <v>3.9776630123999994</v>
          </cell>
          <cell r="F945">
            <v>25.4</v>
          </cell>
          <cell r="K945">
            <v>79.796385999999998</v>
          </cell>
          <cell r="L945">
            <v>506.70866399999994</v>
          </cell>
          <cell r="O945" t="str">
            <v>SAE 1020</v>
          </cell>
          <cell r="P945" t="str">
            <v>S</v>
          </cell>
        </row>
        <row r="946">
          <cell r="A946">
            <v>945</v>
          </cell>
          <cell r="B946" t="str">
            <v>EJE DE TRANSMISIÓN SAE 1020</v>
          </cell>
          <cell r="C946" t="str">
            <v>EJE SAE 1020 ø 1 1/8"</v>
          </cell>
          <cell r="D946">
            <v>5.0342297500687501</v>
          </cell>
          <cell r="E946">
            <v>5.0342297500687501</v>
          </cell>
          <cell r="F946">
            <v>28.574999999999999</v>
          </cell>
          <cell r="K946">
            <v>89.770934249999996</v>
          </cell>
          <cell r="L946">
            <v>641.30315287500002</v>
          </cell>
          <cell r="O946" t="str">
            <v>SAE 1020</v>
          </cell>
          <cell r="P946" t="str">
            <v>S</v>
          </cell>
        </row>
        <row r="947">
          <cell r="A947">
            <v>946</v>
          </cell>
          <cell r="B947" t="str">
            <v>EJE DE TRANSMISIÓN SAE 1020</v>
          </cell>
          <cell r="C947" t="str">
            <v>EJE SAE 1020 ø 1 1/4"</v>
          </cell>
          <cell r="D947">
            <v>6.2150984568749994</v>
          </cell>
          <cell r="E947">
            <v>6.2150984568749994</v>
          </cell>
          <cell r="F947">
            <v>31.75</v>
          </cell>
          <cell r="K947">
            <v>99.745482499999994</v>
          </cell>
          <cell r="L947">
            <v>791.73228749999998</v>
          </cell>
          <cell r="O947" t="str">
            <v>SAE 1020</v>
          </cell>
          <cell r="P947" t="str">
            <v>S</v>
          </cell>
        </row>
        <row r="948">
          <cell r="A948">
            <v>947</v>
          </cell>
          <cell r="B948" t="str">
            <v>EJE DE TRANSMISIÓN SAE 1020</v>
          </cell>
          <cell r="C948" t="str">
            <v>EJE SAE 1020 ø 1 3/8"</v>
          </cell>
          <cell r="D948">
            <v>7.5202691328187479</v>
          </cell>
          <cell r="E948">
            <v>7.5202691328187479</v>
          </cell>
          <cell r="F948">
            <v>34.924999999999997</v>
          </cell>
          <cell r="K948">
            <v>109.72003074999999</v>
          </cell>
          <cell r="L948">
            <v>957.99606787499977</v>
          </cell>
          <cell r="O948" t="str">
            <v>SAE 1020</v>
          </cell>
          <cell r="P948" t="str">
            <v>N</v>
          </cell>
        </row>
        <row r="949">
          <cell r="A949">
            <v>948</v>
          </cell>
          <cell r="B949" t="str">
            <v>EJE DE TRANSMISIÓN SAE 1020</v>
          </cell>
          <cell r="C949" t="str">
            <v>EJE SAE 1020 ø 1 1/2"</v>
          </cell>
          <cell r="D949">
            <v>8.9497417778999964</v>
          </cell>
          <cell r="E949">
            <v>8.9497417778999964</v>
          </cell>
          <cell r="F949">
            <v>38.099999999999994</v>
          </cell>
          <cell r="K949">
            <v>119.69457899999998</v>
          </cell>
          <cell r="L949">
            <v>1140.0944939999997</v>
          </cell>
          <cell r="O949" t="str">
            <v>SAE 1020</v>
          </cell>
          <cell r="P949" t="str">
            <v>S</v>
          </cell>
        </row>
        <row r="950">
          <cell r="A950">
            <v>949</v>
          </cell>
          <cell r="B950" t="str">
            <v>EJE DE TRANSMISIÓN SAE 1020</v>
          </cell>
          <cell r="C950" t="str">
            <v>EJE SAE 1020 ø 1 3/4"</v>
          </cell>
          <cell r="D950">
            <v>12.181592975474997</v>
          </cell>
          <cell r="E950">
            <v>12.181592975474997</v>
          </cell>
          <cell r="F950">
            <v>44.449999999999996</v>
          </cell>
          <cell r="K950">
            <v>139.64367549999997</v>
          </cell>
          <cell r="L950">
            <v>1551.7952834999996</v>
          </cell>
          <cell r="O950" t="str">
            <v>SAE 1020</v>
          </cell>
          <cell r="P950" t="str">
            <v>N</v>
          </cell>
        </row>
        <row r="951">
          <cell r="A951">
            <v>950</v>
          </cell>
          <cell r="B951" t="str">
            <v>EJE DE TRANSMISIÓN SAE 1020</v>
          </cell>
          <cell r="C951" t="str">
            <v>EJE SAE 1020 ø 2"</v>
          </cell>
          <cell r="D951">
            <v>15.910652049599998</v>
          </cell>
          <cell r="E951">
            <v>15.910652049599998</v>
          </cell>
          <cell r="F951">
            <v>50.8</v>
          </cell>
          <cell r="K951">
            <v>159.592772</v>
          </cell>
          <cell r="L951">
            <v>2026.8346559999998</v>
          </cell>
          <cell r="O951" t="str">
            <v>SAE 1020</v>
          </cell>
          <cell r="P951" t="str">
            <v>N</v>
          </cell>
        </row>
        <row r="952">
          <cell r="A952">
            <v>951</v>
          </cell>
          <cell r="B952" t="str">
            <v>EJE DE TRANSMISIÓN SAE 1020</v>
          </cell>
          <cell r="C952" t="str">
            <v>EJE SAE 1020 ø 2 1/4"</v>
          </cell>
          <cell r="D952">
            <v>20.136919000275</v>
          </cell>
          <cell r="E952">
            <v>20.136919000275</v>
          </cell>
          <cell r="F952">
            <v>57.15</v>
          </cell>
          <cell r="K952">
            <v>179.54186849999999</v>
          </cell>
          <cell r="L952">
            <v>2565.2126115000001</v>
          </cell>
          <cell r="O952" t="str">
            <v>SAE 1020</v>
          </cell>
          <cell r="P952" t="str">
            <v>N</v>
          </cell>
        </row>
        <row r="953">
          <cell r="A953">
            <v>952</v>
          </cell>
          <cell r="B953" t="str">
            <v>EJE DE TRANSMISIÓN SAE 1020</v>
          </cell>
          <cell r="C953" t="str">
            <v>EJE SAE 1020 ø 2 1/2"</v>
          </cell>
          <cell r="D953">
            <v>24.860393827499998</v>
          </cell>
          <cell r="E953">
            <v>24.860393827499998</v>
          </cell>
          <cell r="F953">
            <v>63.5</v>
          </cell>
          <cell r="K953">
            <v>199.49096499999999</v>
          </cell>
          <cell r="L953">
            <v>3166.9291499999999</v>
          </cell>
          <cell r="O953" t="str">
            <v>SAE 1020</v>
          </cell>
          <cell r="P953" t="str">
            <v>N</v>
          </cell>
        </row>
        <row r="954">
          <cell r="A954">
            <v>953</v>
          </cell>
          <cell r="B954" t="str">
            <v>EJE DE TRANSMISIÓN SAE 1020</v>
          </cell>
          <cell r="C954" t="str">
            <v>EJE SAE 1020 ø 2 3/4"</v>
          </cell>
          <cell r="D954">
            <v>30.081076531274991</v>
          </cell>
          <cell r="E954">
            <v>30.081076531274991</v>
          </cell>
          <cell r="F954">
            <v>69.849999999999994</v>
          </cell>
          <cell r="K954">
            <v>219.44006149999998</v>
          </cell>
          <cell r="L954">
            <v>3831.9842714999991</v>
          </cell>
          <cell r="O954" t="str">
            <v>SAE 1020</v>
          </cell>
          <cell r="P954" t="str">
            <v>N</v>
          </cell>
        </row>
        <row r="955">
          <cell r="A955">
            <v>954</v>
          </cell>
          <cell r="B955" t="str">
            <v>EJE DE TRANSMISIÓN SAE 1020</v>
          </cell>
          <cell r="C955" t="str">
            <v>EJE SAE 1020 ø 3"</v>
          </cell>
          <cell r="D955">
            <v>35.798967111599985</v>
          </cell>
          <cell r="E955">
            <v>35.798967111599985</v>
          </cell>
          <cell r="F955">
            <v>76.199999999999989</v>
          </cell>
          <cell r="K955">
            <v>239.38915799999995</v>
          </cell>
          <cell r="L955">
            <v>4560.3779759999989</v>
          </cell>
          <cell r="O955" t="str">
            <v>SAE 1020</v>
          </cell>
          <cell r="P955" t="str">
            <v>N</v>
          </cell>
        </row>
        <row r="956">
          <cell r="A956">
            <v>955</v>
          </cell>
          <cell r="B956" t="str">
            <v>EJE DE TRANSMISIÓN SAE 1020</v>
          </cell>
          <cell r="C956" t="str">
            <v>EJE SAE 1020 ø 3 1/4"</v>
          </cell>
          <cell r="D956">
            <v>42.014065568474997</v>
          </cell>
          <cell r="E956">
            <v>42.014065568474997</v>
          </cell>
          <cell r="F956">
            <v>82.55</v>
          </cell>
          <cell r="K956">
            <v>259.33825450000001</v>
          </cell>
          <cell r="L956">
            <v>5352.1102634999997</v>
          </cell>
          <cell r="O956" t="str">
            <v>SAE 1020</v>
          </cell>
          <cell r="P956" t="str">
            <v>N</v>
          </cell>
        </row>
        <row r="957">
          <cell r="A957">
            <v>956</v>
          </cell>
          <cell r="B957" t="str">
            <v>EJE DE TRANSMISIÓN SAE 1020</v>
          </cell>
          <cell r="C957" t="str">
            <v>EJE SAE 1020 ø 3 1/2"</v>
          </cell>
          <cell r="D957">
            <v>48.726371901899988</v>
          </cell>
          <cell r="E957">
            <v>48.726371901899988</v>
          </cell>
          <cell r="F957">
            <v>88.899999999999991</v>
          </cell>
          <cell r="K957">
            <v>279.28735099999994</v>
          </cell>
          <cell r="L957">
            <v>6207.1811339999986</v>
          </cell>
          <cell r="O957" t="str">
            <v>SAE 1020</v>
          </cell>
          <cell r="P957" t="str">
            <v>N</v>
          </cell>
        </row>
        <row r="958">
          <cell r="A958">
            <v>957</v>
          </cell>
          <cell r="B958" t="str">
            <v>EJE DE TRANSMISIÓN SAE 1020</v>
          </cell>
          <cell r="C958" t="str">
            <v>EJE SAE 1020 ø 3 3/4"</v>
          </cell>
          <cell r="D958">
            <v>55.935886111874993</v>
          </cell>
          <cell r="E958">
            <v>55.935886111874993</v>
          </cell>
          <cell r="F958">
            <v>95.25</v>
          </cell>
          <cell r="K958">
            <v>299.2364475</v>
          </cell>
          <cell r="L958">
            <v>7125.5905874999999</v>
          </cell>
          <cell r="O958" t="str">
            <v>SAE 1020</v>
          </cell>
          <cell r="P958" t="str">
            <v>N</v>
          </cell>
        </row>
        <row r="959">
          <cell r="A959">
            <v>958</v>
          </cell>
          <cell r="B959" t="str">
            <v>EJE DE TRANSMISIÓN SAE 1020</v>
          </cell>
          <cell r="C959" t="str">
            <v>EJE SAE 1020 ø 4"</v>
          </cell>
          <cell r="D959">
            <v>63.642608198399991</v>
          </cell>
          <cell r="E959">
            <v>63.642608198399991</v>
          </cell>
          <cell r="F959">
            <v>101.6</v>
          </cell>
          <cell r="K959">
            <v>319.18554399999999</v>
          </cell>
          <cell r="L959">
            <v>8107.3386239999991</v>
          </cell>
          <cell r="O959" t="str">
            <v>SAE 1020</v>
          </cell>
          <cell r="P959" t="str">
            <v>N</v>
          </cell>
        </row>
        <row r="960">
          <cell r="A960">
            <v>959</v>
          </cell>
          <cell r="B960" t="str">
            <v>EJE DE TRANSMISIÓN SAE 1020</v>
          </cell>
          <cell r="C960" t="str">
            <v>EJE SAE 1020 ø 4 1/2"</v>
          </cell>
          <cell r="D960">
            <v>80.547676001100001</v>
          </cell>
          <cell r="E960">
            <v>80.547676001100001</v>
          </cell>
          <cell r="F960">
            <v>114.3</v>
          </cell>
          <cell r="K960">
            <v>359.08373699999999</v>
          </cell>
          <cell r="L960">
            <v>10260.850446</v>
          </cell>
          <cell r="O960" t="str">
            <v>SAE 1020</v>
          </cell>
          <cell r="P960" t="str">
            <v>N</v>
          </cell>
        </row>
        <row r="961">
          <cell r="A961">
            <v>960</v>
          </cell>
          <cell r="B961" t="str">
            <v>EJE DE TRANSMISIÓN SAE 1020</v>
          </cell>
          <cell r="C961" t="str">
            <v>EJE SAE 1020 ø 5"</v>
          </cell>
          <cell r="D961">
            <v>99.44157530999999</v>
          </cell>
          <cell r="E961">
            <v>99.44157530999999</v>
          </cell>
          <cell r="F961">
            <v>127</v>
          </cell>
          <cell r="K961">
            <v>398.98192999999998</v>
          </cell>
          <cell r="L961">
            <v>12667.7166</v>
          </cell>
          <cell r="O961" t="str">
            <v>SAE 1020</v>
          </cell>
          <cell r="P961" t="str">
            <v>N</v>
          </cell>
        </row>
        <row r="962">
          <cell r="A962">
            <v>961</v>
          </cell>
          <cell r="B962" t="str">
            <v>EJE DE TRANSMISIÓN SAE 1020</v>
          </cell>
          <cell r="C962" t="str">
            <v>EJE SAE 1020 ø 5 1/2"</v>
          </cell>
          <cell r="D962">
            <v>120.32430612509997</v>
          </cell>
          <cell r="E962">
            <v>120.32430612509997</v>
          </cell>
          <cell r="F962">
            <v>139.69999999999999</v>
          </cell>
          <cell r="K962">
            <v>438.88012299999997</v>
          </cell>
          <cell r="L962">
            <v>15327.937085999996</v>
          </cell>
          <cell r="O962" t="str">
            <v>SAE 1020</v>
          </cell>
          <cell r="P962" t="str">
            <v>N</v>
          </cell>
        </row>
        <row r="963">
          <cell r="A963">
            <v>962</v>
          </cell>
          <cell r="B963" t="str">
            <v>EJE DE TRANSMISIÓN SAE 1020</v>
          </cell>
          <cell r="C963" t="str">
            <v>EJE SAE 1020 ø 6"</v>
          </cell>
          <cell r="D963">
            <v>143.19586844639994</v>
          </cell>
          <cell r="E963">
            <v>143.19586844639994</v>
          </cell>
          <cell r="F963">
            <v>152.39999999999998</v>
          </cell>
          <cell r="K963">
            <v>478.7783159999999</v>
          </cell>
          <cell r="L963">
            <v>18241.511903999995</v>
          </cell>
          <cell r="O963" t="str">
            <v>SAE 1020</v>
          </cell>
          <cell r="P963" t="str">
            <v>N</v>
          </cell>
        </row>
        <row r="964">
          <cell r="A964">
            <v>963</v>
          </cell>
          <cell r="B964" t="str">
            <v>EJE DE TRANSMISIÓN SAE 1020</v>
          </cell>
          <cell r="C964" t="str">
            <v>EJE SAE 1020 ø 7"</v>
          </cell>
          <cell r="D964">
            <v>194.90548760759995</v>
          </cell>
          <cell r="E964">
            <v>194.90548760759995</v>
          </cell>
          <cell r="F964">
            <v>177.79999999999998</v>
          </cell>
          <cell r="K964">
            <v>558.57470199999989</v>
          </cell>
          <cell r="L964">
            <v>24828.724535999994</v>
          </cell>
          <cell r="O964" t="str">
            <v>SAE 1020</v>
          </cell>
          <cell r="P964" t="str">
            <v>N</v>
          </cell>
        </row>
        <row r="965">
          <cell r="A965">
            <v>964</v>
          </cell>
          <cell r="B965" t="str">
            <v>EJE DE TRANSMISIÓN SAE 1020</v>
          </cell>
          <cell r="C965" t="str">
            <v>EJE SAE 1020 ø 8"</v>
          </cell>
          <cell r="D965">
            <v>254.57043279359996</v>
          </cell>
          <cell r="E965">
            <v>254.57043279359996</v>
          </cell>
          <cell r="F965">
            <v>203.2</v>
          </cell>
          <cell r="K965">
            <v>638.37108799999999</v>
          </cell>
          <cell r="L965">
            <v>32429.354495999996</v>
          </cell>
          <cell r="O965" t="str">
            <v>SAE 1020</v>
          </cell>
          <cell r="P965" t="str">
            <v>N</v>
          </cell>
        </row>
        <row r="966">
          <cell r="A966">
            <v>965</v>
          </cell>
          <cell r="B966" t="str">
            <v>EJE DE TRANSMISIÓN SAE 1020</v>
          </cell>
          <cell r="C966" t="str">
            <v>EJE SAE 1020 ø 9"</v>
          </cell>
          <cell r="D966">
            <v>322.1907040044</v>
          </cell>
          <cell r="E966">
            <v>322.1907040044</v>
          </cell>
          <cell r="F966">
            <v>228.6</v>
          </cell>
          <cell r="K966">
            <v>718.16747399999997</v>
          </cell>
          <cell r="L966">
            <v>41043.401784000001</v>
          </cell>
          <cell r="O966" t="str">
            <v>SAE 1020</v>
          </cell>
          <cell r="P966" t="str">
            <v>N</v>
          </cell>
        </row>
        <row r="967">
          <cell r="A967">
            <v>966</v>
          </cell>
          <cell r="B967" t="str">
            <v>EJE DE TRANSMISIÓN SAE 1020</v>
          </cell>
          <cell r="C967" t="str">
            <v>EJE SAE 1020 ø 10"</v>
          </cell>
          <cell r="D967">
            <v>397.76630123999996</v>
          </cell>
          <cell r="E967">
            <v>397.76630123999996</v>
          </cell>
          <cell r="F967">
            <v>254</v>
          </cell>
          <cell r="K967">
            <v>797.96385999999995</v>
          </cell>
          <cell r="L967">
            <v>50670.866399999999</v>
          </cell>
          <cell r="O967" t="str">
            <v>SAE 1020</v>
          </cell>
          <cell r="P967" t="str">
            <v>N</v>
          </cell>
        </row>
        <row r="968">
          <cell r="A968">
            <v>967</v>
          </cell>
          <cell r="B968" t="str">
            <v>"L" PERFIL ANGULAR LAMINADO A572</v>
          </cell>
          <cell r="C968" t="str">
            <v>L 45 x 4</v>
          </cell>
          <cell r="D968">
            <v>2.74</v>
          </cell>
          <cell r="E968">
            <v>2.74</v>
          </cell>
          <cell r="F968" t="str">
            <v xml:space="preserve">45 </v>
          </cell>
          <cell r="G968" t="str">
            <v xml:space="preserve">45 </v>
          </cell>
          <cell r="H968" t="str">
            <v xml:space="preserve"> 4</v>
          </cell>
          <cell r="K968">
            <v>180</v>
          </cell>
          <cell r="L968">
            <v>349</v>
          </cell>
          <cell r="M968" t="str">
            <v>12.04.40.090.00</v>
          </cell>
          <cell r="N968">
            <v>12000</v>
          </cell>
          <cell r="O968" t="str">
            <v>A572 G50</v>
          </cell>
          <cell r="P968" t="str">
            <v>S</v>
          </cell>
        </row>
        <row r="969">
          <cell r="A969">
            <v>968</v>
          </cell>
          <cell r="B969" t="str">
            <v>"L" PERFIL ANGULAR LAMINADO A572</v>
          </cell>
          <cell r="C969" t="str">
            <v>L 45 x 5</v>
          </cell>
          <cell r="D969">
            <v>3.38</v>
          </cell>
          <cell r="E969">
            <v>3.38</v>
          </cell>
          <cell r="F969" t="str">
            <v xml:space="preserve">45 </v>
          </cell>
          <cell r="G969" t="str">
            <v xml:space="preserve">45 </v>
          </cell>
          <cell r="H969" t="str">
            <v xml:space="preserve"> 5</v>
          </cell>
          <cell r="K969">
            <v>180</v>
          </cell>
          <cell r="L969">
            <v>430</v>
          </cell>
          <cell r="M969" t="str">
            <v>12.04.40.102.00</v>
          </cell>
          <cell r="N969">
            <v>12000</v>
          </cell>
          <cell r="O969" t="str">
            <v>A572 G50</v>
          </cell>
          <cell r="P969" t="str">
            <v>S</v>
          </cell>
        </row>
        <row r="970">
          <cell r="A970">
            <v>969</v>
          </cell>
          <cell r="B970" t="str">
            <v>"L" PERFIL ANGULAR LAMINADO</v>
          </cell>
          <cell r="C970" t="str">
            <v>L 130x12</v>
          </cell>
          <cell r="D970">
            <v>23.6</v>
          </cell>
          <cell r="E970">
            <v>23.6</v>
          </cell>
          <cell r="F970" t="str">
            <v>130</v>
          </cell>
          <cell r="G970" t="str">
            <v>130</v>
          </cell>
          <cell r="H970" t="str">
            <v>12</v>
          </cell>
          <cell r="K970">
            <v>520</v>
          </cell>
          <cell r="L970">
            <v>3000</v>
          </cell>
          <cell r="M970" t="str">
            <v>12.04.40.420.00</v>
          </cell>
          <cell r="N970">
            <v>12000</v>
          </cell>
          <cell r="O970" t="str">
            <v>A572 G50</v>
          </cell>
          <cell r="P970" t="str">
            <v>S</v>
          </cell>
        </row>
        <row r="971">
          <cell r="A971">
            <v>970</v>
          </cell>
          <cell r="B971" t="str">
            <v>"HEA" ESTRUCTURAL (Laminado)</v>
          </cell>
          <cell r="C971" t="str">
            <v>HEA 340</v>
          </cell>
          <cell r="D971">
            <v>105</v>
          </cell>
          <cell r="E971">
            <v>105</v>
          </cell>
          <cell r="F971">
            <v>300</v>
          </cell>
          <cell r="G971">
            <v>330</v>
          </cell>
          <cell r="H971">
            <v>9.5</v>
          </cell>
          <cell r="I971">
            <v>16.5</v>
          </cell>
          <cell r="K971">
            <v>1841</v>
          </cell>
          <cell r="L971">
            <v>13350</v>
          </cell>
          <cell r="M971" t="str">
            <v>12.49.16.130.00</v>
          </cell>
          <cell r="O971" t="str">
            <v>A36</v>
          </cell>
          <cell r="P971" t="str">
            <v>N</v>
          </cell>
        </row>
        <row r="972">
          <cell r="A972">
            <v>971</v>
          </cell>
          <cell r="B972" t="str">
            <v>"HEA" ESTRUCTURAL (Laminado)</v>
          </cell>
          <cell r="C972" t="str">
            <v>HEA 360</v>
          </cell>
          <cell r="D972">
            <v>112</v>
          </cell>
          <cell r="E972">
            <v>112</v>
          </cell>
          <cell r="F972">
            <v>300</v>
          </cell>
          <cell r="G972">
            <v>350</v>
          </cell>
          <cell r="H972">
            <v>10</v>
          </cell>
          <cell r="I972">
            <v>17.5</v>
          </cell>
          <cell r="K972">
            <v>1880</v>
          </cell>
          <cell r="L972">
            <v>14280.000000000002</v>
          </cell>
          <cell r="M972" t="str">
            <v>12.49.16.140.00</v>
          </cell>
          <cell r="O972" t="str">
            <v>A36</v>
          </cell>
          <cell r="P972" t="str">
            <v>N</v>
          </cell>
        </row>
        <row r="973">
          <cell r="A973">
            <v>972</v>
          </cell>
          <cell r="B973" t="str">
            <v>PLACAS ASTM  A572-G50 6000x1800</v>
          </cell>
          <cell r="C973" t="str">
            <v>PLE 3 mm</v>
          </cell>
          <cell r="D973">
            <v>23.55</v>
          </cell>
          <cell r="E973">
            <v>23.55</v>
          </cell>
          <cell r="M973" t="str">
            <v>12.54.52.270.01</v>
          </cell>
          <cell r="O973" t="str">
            <v>A572 G50</v>
          </cell>
          <cell r="P973" t="str">
            <v>S</v>
          </cell>
        </row>
        <row r="974">
          <cell r="A974">
            <v>973</v>
          </cell>
          <cell r="B974" t="str">
            <v>PLACAS ASTM  A572-G50 6000x1800</v>
          </cell>
          <cell r="C974" t="str">
            <v>PLE 4mm</v>
          </cell>
          <cell r="D974">
            <v>31.400000000000002</v>
          </cell>
          <cell r="E974">
            <v>31.400000000000002</v>
          </cell>
          <cell r="M974" t="str">
            <v>12.54.52.290.01</v>
          </cell>
          <cell r="O974" t="str">
            <v>A572 G50</v>
          </cell>
          <cell r="P974" t="str">
            <v>S</v>
          </cell>
        </row>
        <row r="975">
          <cell r="A975">
            <v>974</v>
          </cell>
          <cell r="B975" t="str">
            <v>PLACAS ASTM  A572-G50 6000x1800</v>
          </cell>
          <cell r="C975" t="str">
            <v>PLE 5mm</v>
          </cell>
          <cell r="D975">
            <v>39.25</v>
          </cell>
          <cell r="E975">
            <v>39.25</v>
          </cell>
          <cell r="M975" t="str">
            <v>12.54.52.310.01</v>
          </cell>
          <cell r="O975" t="str">
            <v>A572 G50</v>
          </cell>
          <cell r="P975" t="str">
            <v>S</v>
          </cell>
        </row>
        <row r="976">
          <cell r="A976">
            <v>975</v>
          </cell>
          <cell r="B976" t="str">
            <v>PLACAS ASTM  A572-G50 12000x2500</v>
          </cell>
          <cell r="C976" t="str">
            <v>PLE 6mm</v>
          </cell>
          <cell r="D976">
            <v>47.1</v>
          </cell>
          <cell r="E976">
            <v>47.1</v>
          </cell>
          <cell r="M976" t="str">
            <v>12.54.52.330.08</v>
          </cell>
          <cell r="O976" t="str">
            <v>A572 G50</v>
          </cell>
          <cell r="P976" t="str">
            <v>S</v>
          </cell>
        </row>
        <row r="977">
          <cell r="A977">
            <v>976</v>
          </cell>
          <cell r="B977" t="str">
            <v>PLACAS ASTM  A572-G50 12000x2500</v>
          </cell>
          <cell r="C977" t="str">
            <v>PLE 8mm</v>
          </cell>
          <cell r="D977">
            <v>62.800000000000004</v>
          </cell>
          <cell r="E977">
            <v>62.800000000000004</v>
          </cell>
          <cell r="M977" t="str">
            <v>12.54.52.350.0B</v>
          </cell>
          <cell r="N977">
            <v>30000000</v>
          </cell>
          <cell r="O977" t="str">
            <v>A572 G50</v>
          </cell>
          <cell r="P977" t="str">
            <v>S</v>
          </cell>
        </row>
        <row r="978">
          <cell r="A978">
            <v>977</v>
          </cell>
          <cell r="B978" t="str">
            <v>PLACAS ASTM  A572-G50 12000x2500</v>
          </cell>
          <cell r="C978" t="str">
            <v>PLE 10mm</v>
          </cell>
          <cell r="D978">
            <v>78.5</v>
          </cell>
          <cell r="E978">
            <v>78.5</v>
          </cell>
          <cell r="M978" t="str">
            <v>12.54.52.370.06</v>
          </cell>
          <cell r="O978" t="str">
            <v>A572 G50</v>
          </cell>
          <cell r="P978" t="str">
            <v>S</v>
          </cell>
        </row>
        <row r="979">
          <cell r="A979">
            <v>978</v>
          </cell>
          <cell r="B979" t="str">
            <v>PLACAS ASTM  A572-G50 12000x2500</v>
          </cell>
          <cell r="C979" t="str">
            <v>PLE 12mm</v>
          </cell>
          <cell r="D979">
            <v>94.2</v>
          </cell>
          <cell r="E979">
            <v>94.2</v>
          </cell>
          <cell r="M979" t="str">
            <v>12.54.52.390.01</v>
          </cell>
          <cell r="O979" t="str">
            <v>A572 G50</v>
          </cell>
          <cell r="P979" t="str">
            <v>S</v>
          </cell>
        </row>
        <row r="980">
          <cell r="A980">
            <v>979</v>
          </cell>
          <cell r="B980" t="str">
            <v>PLACAS ASTM  A572-G50 12000x2500</v>
          </cell>
          <cell r="C980" t="str">
            <v>PLE 15mm</v>
          </cell>
          <cell r="D980">
            <v>117.75</v>
          </cell>
          <cell r="E980">
            <v>117.75</v>
          </cell>
          <cell r="M980" t="str">
            <v>12.54.52.420.00</v>
          </cell>
          <cell r="O980" t="str">
            <v>A572 G50</v>
          </cell>
          <cell r="P980" t="str">
            <v>S</v>
          </cell>
        </row>
        <row r="981">
          <cell r="A981">
            <v>980</v>
          </cell>
          <cell r="B981" t="str">
            <v>PLACAS ASTM  A572-G50 12000x2500</v>
          </cell>
          <cell r="C981" t="str">
            <v>PLE 16mm</v>
          </cell>
          <cell r="D981">
            <v>125.60000000000001</v>
          </cell>
          <cell r="E981">
            <v>125.60000000000001</v>
          </cell>
          <cell r="M981" t="str">
            <v>12.54.52.430.01</v>
          </cell>
          <cell r="O981" t="str">
            <v>A572 G50</v>
          </cell>
          <cell r="P981" t="str">
            <v>S</v>
          </cell>
        </row>
        <row r="982">
          <cell r="A982">
            <v>981</v>
          </cell>
          <cell r="B982" t="str">
            <v>PLACAS ASTM  A572-G50 12000x2500</v>
          </cell>
          <cell r="C982" t="str">
            <v>PLE 18mm</v>
          </cell>
          <cell r="D982">
            <v>141.29999999999998</v>
          </cell>
          <cell r="E982">
            <v>141.29999999999998</v>
          </cell>
          <cell r="M982" t="str">
            <v>12.54.52.450.01</v>
          </cell>
          <cell r="O982" t="str">
            <v>A572 G50</v>
          </cell>
          <cell r="P982" t="str">
            <v>S</v>
          </cell>
        </row>
        <row r="983">
          <cell r="A983">
            <v>982</v>
          </cell>
          <cell r="B983" t="str">
            <v>PLACAS ASTM  A572-G50 12000x2500</v>
          </cell>
          <cell r="C983" t="str">
            <v>PLE 20mm</v>
          </cell>
          <cell r="D983">
            <v>157</v>
          </cell>
          <cell r="E983">
            <v>157</v>
          </cell>
          <cell r="M983" t="str">
            <v>12.54.52.470.01</v>
          </cell>
          <cell r="O983" t="str">
            <v>A572 G50</v>
          </cell>
          <cell r="P983" t="str">
            <v>S</v>
          </cell>
        </row>
        <row r="984">
          <cell r="A984">
            <v>983</v>
          </cell>
          <cell r="B984" t="str">
            <v>PLACAS ASTM  A572-G50 12000x2500</v>
          </cell>
          <cell r="C984" t="str">
            <v>PLE 22mm</v>
          </cell>
          <cell r="D984">
            <v>172.7</v>
          </cell>
          <cell r="E984">
            <v>172.7</v>
          </cell>
          <cell r="M984" t="str">
            <v>12.54.52.490.01</v>
          </cell>
          <cell r="O984" t="str">
            <v>A572 G50</v>
          </cell>
          <cell r="P984" t="str">
            <v>S</v>
          </cell>
        </row>
        <row r="985">
          <cell r="A985">
            <v>984</v>
          </cell>
          <cell r="B985" t="str">
            <v>PLACAS ASTM  A572-G50 12000x2500</v>
          </cell>
          <cell r="C985" t="str">
            <v>PLE 25mm</v>
          </cell>
          <cell r="D985">
            <v>196.25</v>
          </cell>
          <cell r="E985">
            <v>196.25</v>
          </cell>
          <cell r="M985" t="str">
            <v>12.54.52.510.01</v>
          </cell>
          <cell r="O985" t="str">
            <v>A572 G50</v>
          </cell>
          <cell r="P985" t="str">
            <v>S</v>
          </cell>
        </row>
        <row r="986">
          <cell r="A986">
            <v>985</v>
          </cell>
          <cell r="B986" t="str">
            <v>PLACAS ASTM  A572-G50 12000x2500</v>
          </cell>
          <cell r="C986" t="str">
            <v>PLE 30mm</v>
          </cell>
          <cell r="D986">
            <v>235.5</v>
          </cell>
          <cell r="E986">
            <v>235.5</v>
          </cell>
          <cell r="M986" t="str">
            <v>12.54.52.520.01</v>
          </cell>
          <cell r="O986" t="str">
            <v>A572 G50</v>
          </cell>
          <cell r="P986" t="str">
            <v>S</v>
          </cell>
        </row>
        <row r="987">
          <cell r="A987">
            <v>986</v>
          </cell>
          <cell r="B987" t="str">
            <v>PLACAS ASTM  A572-G50</v>
          </cell>
          <cell r="C987" t="str">
            <v>PLE 38mm</v>
          </cell>
          <cell r="D987">
            <v>298.3</v>
          </cell>
          <cell r="E987">
            <v>298.3</v>
          </cell>
          <cell r="M987" t="str">
            <v>12.54.52.550.0G</v>
          </cell>
          <cell r="O987" t="str">
            <v>A572 G50</v>
          </cell>
          <cell r="P987" t="str">
            <v>N</v>
          </cell>
        </row>
        <row r="988">
          <cell r="A988">
            <v>987</v>
          </cell>
          <cell r="B988" t="str">
            <v>PLACAS ASTM  A572-G50 12000x2500</v>
          </cell>
          <cell r="C988" t="str">
            <v>PLE 40mm</v>
          </cell>
          <cell r="D988">
            <v>314</v>
          </cell>
          <cell r="E988">
            <v>314</v>
          </cell>
          <cell r="M988" t="str">
            <v>12.54.52.560.01</v>
          </cell>
          <cell r="O988" t="str">
            <v>A572 G50</v>
          </cell>
          <cell r="P988" t="str">
            <v>S</v>
          </cell>
        </row>
        <row r="989">
          <cell r="A989">
            <v>988</v>
          </cell>
          <cell r="B989" t="str">
            <v>PLACAS ASTM  A572-G50</v>
          </cell>
          <cell r="C989" t="str">
            <v>PLE 45mm</v>
          </cell>
          <cell r="D989">
            <v>353.25</v>
          </cell>
          <cell r="E989">
            <v>353.25</v>
          </cell>
          <cell r="M989" t="str">
            <v>12.54.52.570.05</v>
          </cell>
          <cell r="O989" t="str">
            <v>A572 G50</v>
          </cell>
          <cell r="P989" t="str">
            <v>S</v>
          </cell>
        </row>
        <row r="990">
          <cell r="A990">
            <v>989</v>
          </cell>
          <cell r="B990" t="str">
            <v>PLACAS ASTM  A572-G50</v>
          </cell>
          <cell r="C990" t="str">
            <v>PLE 50mm</v>
          </cell>
          <cell r="D990">
            <v>392.5</v>
          </cell>
          <cell r="E990">
            <v>392.5</v>
          </cell>
          <cell r="M990" t="str">
            <v>12.54.52.580.09</v>
          </cell>
          <cell r="O990" t="str">
            <v>A572 G50</v>
          </cell>
          <cell r="P990" t="str">
            <v>N</v>
          </cell>
        </row>
        <row r="991">
          <cell r="A991">
            <v>990</v>
          </cell>
          <cell r="B991" t="str">
            <v>PLACAS ASTM  A588</v>
          </cell>
          <cell r="C991" t="str">
            <v>PLE 6mm</v>
          </cell>
          <cell r="D991">
            <v>47.1</v>
          </cell>
          <cell r="E991">
            <v>47.1</v>
          </cell>
          <cell r="O991" t="str">
            <v>A588</v>
          </cell>
          <cell r="P991" t="str">
            <v>S</v>
          </cell>
        </row>
        <row r="992">
          <cell r="A992">
            <v>991</v>
          </cell>
          <cell r="B992" t="str">
            <v>PLACAS ASTM  A588 12000x2300</v>
          </cell>
          <cell r="C992" t="str">
            <v>PLE 8mm</v>
          </cell>
          <cell r="D992">
            <v>62.800000000000004</v>
          </cell>
          <cell r="E992">
            <v>62.800000000000004</v>
          </cell>
          <cell r="M992" t="str">
            <v>12.54.52.350.02</v>
          </cell>
          <cell r="O992" t="str">
            <v>A588</v>
          </cell>
          <cell r="P992" t="str">
            <v>S</v>
          </cell>
        </row>
        <row r="993">
          <cell r="A993">
            <v>992</v>
          </cell>
          <cell r="B993" t="str">
            <v>PLACAS ASTM  A588 6000x1800</v>
          </cell>
          <cell r="C993" t="str">
            <v>PLE 10mm</v>
          </cell>
          <cell r="D993">
            <v>78.5</v>
          </cell>
          <cell r="E993">
            <v>78.5</v>
          </cell>
          <cell r="M993" t="str">
            <v>12.54.52.370.02</v>
          </cell>
          <cell r="O993" t="str">
            <v>A588</v>
          </cell>
          <cell r="P993" t="str">
            <v>S</v>
          </cell>
        </row>
        <row r="994">
          <cell r="A994">
            <v>993</v>
          </cell>
          <cell r="B994" t="str">
            <v>PLACAS ASTM  A588 12000x2500</v>
          </cell>
          <cell r="C994" t="str">
            <v>PLE 12mm</v>
          </cell>
          <cell r="D994">
            <v>94.2</v>
          </cell>
          <cell r="E994">
            <v>94.2</v>
          </cell>
          <cell r="M994" t="str">
            <v>12.54.52.390.02</v>
          </cell>
          <cell r="O994" t="str">
            <v>A588</v>
          </cell>
          <cell r="P994" t="str">
            <v>S</v>
          </cell>
        </row>
        <row r="995">
          <cell r="A995">
            <v>994</v>
          </cell>
          <cell r="B995" t="str">
            <v>PLACAS ASTM  A588</v>
          </cell>
          <cell r="C995" t="str">
            <v>PLE 15mm</v>
          </cell>
          <cell r="D995">
            <v>117.75</v>
          </cell>
          <cell r="E995">
            <v>117.75</v>
          </cell>
          <cell r="M995" t="str">
            <v>12.54.52.420.0B</v>
          </cell>
          <cell r="O995" t="str">
            <v>A588</v>
          </cell>
          <cell r="P995" t="str">
            <v>S</v>
          </cell>
        </row>
        <row r="996">
          <cell r="A996">
            <v>995</v>
          </cell>
          <cell r="B996" t="str">
            <v>PLACAS ASTM  A588 12000x2500</v>
          </cell>
          <cell r="C996" t="str">
            <v>PLE 20mm</v>
          </cell>
          <cell r="D996">
            <v>157</v>
          </cell>
          <cell r="E996">
            <v>157</v>
          </cell>
          <cell r="M996" t="str">
            <v>12.54.52.470.02</v>
          </cell>
          <cell r="O996" t="str">
            <v>A588</v>
          </cell>
          <cell r="P996" t="str">
            <v>S</v>
          </cell>
        </row>
        <row r="997">
          <cell r="A997">
            <v>996</v>
          </cell>
          <cell r="B997" t="str">
            <v>PLACAS ASTM  A588 12000x2500</v>
          </cell>
          <cell r="C997" t="str">
            <v>PLE 25mm</v>
          </cell>
          <cell r="D997">
            <v>196.25</v>
          </cell>
          <cell r="E997">
            <v>196.25</v>
          </cell>
          <cell r="M997" t="str">
            <v>12.54.52.510.02</v>
          </cell>
          <cell r="O997" t="str">
            <v>A588</v>
          </cell>
          <cell r="P997" t="str">
            <v>S</v>
          </cell>
        </row>
        <row r="998">
          <cell r="A998">
            <v>997</v>
          </cell>
          <cell r="B998" t="str">
            <v>PLACAS ASTM  A588 12000x2500</v>
          </cell>
          <cell r="C998" t="str">
            <v>PLE 30mm</v>
          </cell>
          <cell r="D998">
            <v>235.5</v>
          </cell>
          <cell r="E998">
            <v>235.5</v>
          </cell>
          <cell r="M998" t="str">
            <v>12.54.52.520.02</v>
          </cell>
          <cell r="O998" t="str">
            <v>A588</v>
          </cell>
          <cell r="P998" t="str">
            <v>S</v>
          </cell>
        </row>
        <row r="999">
          <cell r="A999">
            <v>998</v>
          </cell>
          <cell r="B999" t="str">
            <v>PLACAS ASTM  A588</v>
          </cell>
          <cell r="C999" t="str">
            <v>PLE 35mm</v>
          </cell>
          <cell r="D999">
            <v>274.75</v>
          </cell>
          <cell r="E999">
            <v>274.75</v>
          </cell>
          <cell r="O999" t="str">
            <v>A588</v>
          </cell>
          <cell r="P999" t="str">
            <v>S</v>
          </cell>
        </row>
        <row r="1000">
          <cell r="A1000">
            <v>999</v>
          </cell>
          <cell r="B1000" t="str">
            <v>PLACAS ASTM  A588 12000x2500</v>
          </cell>
          <cell r="C1000" t="str">
            <v>PLE 40mm</v>
          </cell>
          <cell r="D1000">
            <v>314</v>
          </cell>
          <cell r="E1000">
            <v>314</v>
          </cell>
          <cell r="M1000" t="str">
            <v>12.54.52.560.00</v>
          </cell>
          <cell r="O1000" t="str">
            <v>A588</v>
          </cell>
          <cell r="P1000" t="str">
            <v>S</v>
          </cell>
        </row>
        <row r="1001">
          <cell r="A1001">
            <v>1000</v>
          </cell>
          <cell r="B1001" t="str">
            <v>PLACAS ASTM  A588</v>
          </cell>
          <cell r="C1001" t="str">
            <v>PLE 45mm</v>
          </cell>
          <cell r="D1001">
            <v>353.25</v>
          </cell>
          <cell r="E1001">
            <v>353.25</v>
          </cell>
          <cell r="O1001" t="str">
            <v>A588</v>
          </cell>
          <cell r="P1001" t="str">
            <v>S</v>
          </cell>
        </row>
        <row r="1002">
          <cell r="A1002">
            <v>1001</v>
          </cell>
          <cell r="B1002" t="str">
            <v>PLACAS ASTM  A588 6000x2500</v>
          </cell>
          <cell r="C1002" t="str">
            <v>PLE 50mm</v>
          </cell>
          <cell r="D1002">
            <v>392.5</v>
          </cell>
          <cell r="E1002">
            <v>392.5</v>
          </cell>
          <cell r="M1002" t="str">
            <v>12.54.52.580.00</v>
          </cell>
          <cell r="O1002" t="str">
            <v>A588</v>
          </cell>
          <cell r="P1002" t="str">
            <v>N</v>
          </cell>
        </row>
        <row r="1003">
          <cell r="A1003">
            <v>1002</v>
          </cell>
          <cell r="B1003" t="str">
            <v>PLACAS ASTM  A36</v>
          </cell>
          <cell r="C1003" t="str">
            <v>PLE 1,1mm</v>
          </cell>
          <cell r="D1003">
            <v>8.6349999999999998</v>
          </cell>
          <cell r="E1003">
            <v>8.6349999999999998</v>
          </cell>
          <cell r="M1003" t="str">
            <v>12.54.52.170.01</v>
          </cell>
          <cell r="O1003" t="str">
            <v>A36</v>
          </cell>
          <cell r="P1003" t="str">
            <v>S</v>
          </cell>
        </row>
        <row r="1004">
          <cell r="A1004">
            <v>1003</v>
          </cell>
          <cell r="B1004" t="str">
            <v>PLACAS ASTM  A36</v>
          </cell>
          <cell r="C1004" t="str">
            <v>PLE 1,4mm</v>
          </cell>
          <cell r="D1004">
            <v>10.99</v>
          </cell>
          <cell r="E1004">
            <v>10.99</v>
          </cell>
          <cell r="M1004" t="str">
            <v>12.54.52.190.00</v>
          </cell>
          <cell r="O1004" t="str">
            <v>A36</v>
          </cell>
          <cell r="P1004" t="str">
            <v>S</v>
          </cell>
        </row>
        <row r="1005">
          <cell r="A1005">
            <v>1004</v>
          </cell>
          <cell r="B1005" t="str">
            <v>"L" PERFIL ANGULAR LAMINADO A36</v>
          </cell>
          <cell r="C1005" t="str">
            <v>L 25x3</v>
          </cell>
          <cell r="D1005">
            <v>1.1199999999999999</v>
          </cell>
          <cell r="E1005">
            <v>1.1199999999999999</v>
          </cell>
          <cell r="F1005" t="str">
            <v>25</v>
          </cell>
          <cell r="G1005" t="str">
            <v>25</v>
          </cell>
          <cell r="H1005" t="str">
            <v>3</v>
          </cell>
          <cell r="K1005">
            <v>100</v>
          </cell>
          <cell r="L1005">
            <v>143</v>
          </cell>
          <cell r="M1005" t="str">
            <v>12.04.40.024.00</v>
          </cell>
          <cell r="N1005">
            <v>6000</v>
          </cell>
          <cell r="O1005" t="str">
            <v>A36</v>
          </cell>
          <cell r="P1005" t="str">
            <v>S</v>
          </cell>
        </row>
        <row r="1006">
          <cell r="A1006">
            <v>1005</v>
          </cell>
          <cell r="B1006" t="str">
            <v>"L" PERFIL ANGULAR LAMINADO A36</v>
          </cell>
          <cell r="C1006" t="str">
            <v>L 25x4</v>
          </cell>
          <cell r="D1006">
            <v>1.45</v>
          </cell>
          <cell r="E1006">
            <v>1.45</v>
          </cell>
          <cell r="F1006" t="str">
            <v>25</v>
          </cell>
          <cell r="G1006" t="str">
            <v>25</v>
          </cell>
          <cell r="H1006" t="str">
            <v>4</v>
          </cell>
          <cell r="K1006">
            <v>100</v>
          </cell>
          <cell r="L1006">
            <v>186</v>
          </cell>
          <cell r="M1006" t="str">
            <v>12.04.40.030.00</v>
          </cell>
          <cell r="N1006">
            <v>6000</v>
          </cell>
          <cell r="O1006" t="str">
            <v>A36</v>
          </cell>
          <cell r="P1006" t="str">
            <v>S</v>
          </cell>
        </row>
        <row r="1007">
          <cell r="A1007">
            <v>1006</v>
          </cell>
          <cell r="B1007" t="str">
            <v>"L" PERFIL ANGULAR LAMINADO A36</v>
          </cell>
          <cell r="C1007" t="str">
            <v>L 30x3</v>
          </cell>
          <cell r="D1007">
            <v>1.36</v>
          </cell>
          <cell r="E1007">
            <v>1.36</v>
          </cell>
          <cell r="F1007" t="str">
            <v>30</v>
          </cell>
          <cell r="G1007" t="str">
            <v>30</v>
          </cell>
          <cell r="H1007" t="str">
            <v>3</v>
          </cell>
          <cell r="K1007">
            <v>120</v>
          </cell>
          <cell r="L1007">
            <v>174</v>
          </cell>
          <cell r="M1007" t="str">
            <v>12.04.40.042.02</v>
          </cell>
          <cell r="N1007">
            <v>12000</v>
          </cell>
          <cell r="O1007" t="str">
            <v>A36</v>
          </cell>
          <cell r="P1007" t="str">
            <v>S</v>
          </cell>
        </row>
        <row r="1008">
          <cell r="A1008">
            <v>1007</v>
          </cell>
          <cell r="B1008" t="str">
            <v>"L" PERFIL ANGULAR LAMINADO A36</v>
          </cell>
          <cell r="C1008" t="str">
            <v>L 30x4</v>
          </cell>
          <cell r="D1008">
            <v>1.78</v>
          </cell>
          <cell r="E1008">
            <v>1.78</v>
          </cell>
          <cell r="F1008" t="str">
            <v>30</v>
          </cell>
          <cell r="G1008" t="str">
            <v>30</v>
          </cell>
          <cell r="H1008" t="str">
            <v>4</v>
          </cell>
          <cell r="K1008">
            <v>120</v>
          </cell>
          <cell r="L1008">
            <v>227</v>
          </cell>
          <cell r="M1008" t="str">
            <v>12.04.40.048.00</v>
          </cell>
          <cell r="N1008">
            <v>6000</v>
          </cell>
          <cell r="O1008" t="str">
            <v>A36</v>
          </cell>
          <cell r="P1008" t="str">
            <v>S</v>
          </cell>
        </row>
        <row r="1009">
          <cell r="A1009">
            <v>1008</v>
          </cell>
          <cell r="B1009" t="str">
            <v>"L" PERFIL ANGULAR LAMINADO A36</v>
          </cell>
          <cell r="C1009" t="str">
            <v>L 40x3</v>
          </cell>
          <cell r="D1009">
            <v>1.84</v>
          </cell>
          <cell r="E1009">
            <v>1.84</v>
          </cell>
          <cell r="F1009" t="str">
            <v>40</v>
          </cell>
          <cell r="G1009" t="str">
            <v>40</v>
          </cell>
          <cell r="H1009" t="str">
            <v>3</v>
          </cell>
          <cell r="K1009">
            <v>160</v>
          </cell>
          <cell r="L1009">
            <v>235</v>
          </cell>
          <cell r="M1009" t="str">
            <v>12.04.40.066.02</v>
          </cell>
          <cell r="N1009">
            <v>12000</v>
          </cell>
          <cell r="O1009" t="str">
            <v>A36</v>
          </cell>
          <cell r="P1009" t="str">
            <v>S</v>
          </cell>
        </row>
        <row r="1010">
          <cell r="A1010">
            <v>1009</v>
          </cell>
          <cell r="B1010" t="str">
            <v>"L" PERFIL ANGULAR LAMINADO A36</v>
          </cell>
          <cell r="C1010" t="str">
            <v>L 40x4</v>
          </cell>
          <cell r="D1010">
            <v>2.42</v>
          </cell>
          <cell r="E1010">
            <v>2.42</v>
          </cell>
          <cell r="F1010" t="str">
            <v>40</v>
          </cell>
          <cell r="G1010" t="str">
            <v>40</v>
          </cell>
          <cell r="H1010" t="str">
            <v>4</v>
          </cell>
          <cell r="K1010">
            <v>160</v>
          </cell>
          <cell r="L1010">
            <v>308</v>
          </cell>
          <cell r="M1010" t="str">
            <v>12.04.40.072.03</v>
          </cell>
          <cell r="N1010">
            <v>12000</v>
          </cell>
          <cell r="O1010" t="str">
            <v>A36</v>
          </cell>
          <cell r="P1010" t="str">
            <v>S</v>
          </cell>
        </row>
        <row r="1011">
          <cell r="A1011">
            <v>1010</v>
          </cell>
          <cell r="B1011" t="str">
            <v>"L" PERFIL ANGULAR LAMINADO A36</v>
          </cell>
          <cell r="C1011" t="str">
            <v>L 40x5</v>
          </cell>
          <cell r="D1011">
            <v>2.97</v>
          </cell>
          <cell r="E1011">
            <v>2.97</v>
          </cell>
          <cell r="F1011" t="str">
            <v>40</v>
          </cell>
          <cell r="G1011" t="str">
            <v>40</v>
          </cell>
          <cell r="H1011" t="str">
            <v>5</v>
          </cell>
          <cell r="K1011">
            <v>160</v>
          </cell>
          <cell r="L1011">
            <v>379</v>
          </cell>
          <cell r="O1011" t="str">
            <v>A36</v>
          </cell>
          <cell r="P1011" t="str">
            <v>N</v>
          </cell>
        </row>
        <row r="1012">
          <cell r="A1012">
            <v>1011</v>
          </cell>
          <cell r="B1012" t="str">
            <v>"L" PERFIL ANGULAR LAMINADO A36</v>
          </cell>
          <cell r="C1012" t="str">
            <v>L 40x6</v>
          </cell>
          <cell r="D1012">
            <v>3.52</v>
          </cell>
          <cell r="E1012">
            <v>3.52</v>
          </cell>
          <cell r="F1012" t="str">
            <v>40</v>
          </cell>
          <cell r="G1012" t="str">
            <v>40</v>
          </cell>
          <cell r="H1012" t="str">
            <v>6</v>
          </cell>
          <cell r="K1012">
            <v>160</v>
          </cell>
          <cell r="L1012">
            <v>448.00000000000006</v>
          </cell>
          <cell r="M1012" t="str">
            <v>12.04.40.084.00</v>
          </cell>
          <cell r="N1012">
            <v>6000</v>
          </cell>
          <cell r="O1012" t="str">
            <v>A36</v>
          </cell>
          <cell r="P1012" t="str">
            <v>N</v>
          </cell>
        </row>
        <row r="1013">
          <cell r="A1013">
            <v>1012</v>
          </cell>
          <cell r="B1013" t="str">
            <v>"L" PERFIL ANGULAR LAMINADO A36</v>
          </cell>
          <cell r="C1013" t="str">
            <v>L 50x3</v>
          </cell>
          <cell r="D1013">
            <v>2.36</v>
          </cell>
          <cell r="E1013">
            <v>2.36</v>
          </cell>
          <cell r="F1013" t="str">
            <v>50</v>
          </cell>
          <cell r="G1013" t="str">
            <v>50</v>
          </cell>
          <cell r="H1013" t="str">
            <v>3</v>
          </cell>
          <cell r="K1013">
            <v>200</v>
          </cell>
          <cell r="L1013">
            <v>296</v>
          </cell>
          <cell r="M1013" t="str">
            <v>12.04.40.108.03</v>
          </cell>
          <cell r="N1013">
            <v>12000</v>
          </cell>
          <cell r="O1013" t="str">
            <v>A36</v>
          </cell>
          <cell r="P1013" t="str">
            <v>S</v>
          </cell>
        </row>
        <row r="1014">
          <cell r="A1014">
            <v>1013</v>
          </cell>
          <cell r="B1014" t="str">
            <v>"L" PERFIL ANGULAR LAMINADO A36</v>
          </cell>
          <cell r="C1014" t="str">
            <v>L 50x4</v>
          </cell>
          <cell r="D1014">
            <v>3.06</v>
          </cell>
          <cell r="E1014">
            <v>3.06</v>
          </cell>
          <cell r="F1014" t="str">
            <v>50</v>
          </cell>
          <cell r="G1014" t="str">
            <v>50</v>
          </cell>
          <cell r="H1014" t="str">
            <v>4</v>
          </cell>
          <cell r="K1014">
            <v>200</v>
          </cell>
          <cell r="L1014">
            <v>398</v>
          </cell>
          <cell r="M1014" t="str">
            <v>12.04.40.114.02</v>
          </cell>
          <cell r="N1014">
            <v>12000</v>
          </cell>
          <cell r="O1014" t="str">
            <v>A36</v>
          </cell>
          <cell r="P1014" t="str">
            <v>S</v>
          </cell>
        </row>
        <row r="1015">
          <cell r="A1015">
            <v>1014</v>
          </cell>
          <cell r="B1015" t="str">
            <v>"L" PERFIL ANGULAR LAMINADO A36</v>
          </cell>
          <cell r="C1015" t="str">
            <v>L 50x5</v>
          </cell>
          <cell r="D1015">
            <v>3.77</v>
          </cell>
          <cell r="E1015">
            <v>3.77</v>
          </cell>
          <cell r="F1015" t="str">
            <v>50</v>
          </cell>
          <cell r="G1015" t="str">
            <v>50</v>
          </cell>
          <cell r="H1015" t="str">
            <v>5</v>
          </cell>
          <cell r="K1015">
            <v>200</v>
          </cell>
          <cell r="L1015">
            <v>480</v>
          </cell>
          <cell r="M1015" t="str">
            <v>12.04.40.120.02</v>
          </cell>
          <cell r="N1015">
            <v>12000</v>
          </cell>
          <cell r="O1015" t="str">
            <v>A36</v>
          </cell>
          <cell r="P1015" t="str">
            <v>S</v>
          </cell>
        </row>
        <row r="1016">
          <cell r="A1016">
            <v>1015</v>
          </cell>
          <cell r="B1016" t="str">
            <v>"L" PERFIL ANGULAR LAMINADO A36</v>
          </cell>
          <cell r="C1016" t="str">
            <v>L 50x6</v>
          </cell>
          <cell r="D1016">
            <v>4.47</v>
          </cell>
          <cell r="E1016">
            <v>4.47</v>
          </cell>
          <cell r="F1016" t="str">
            <v>50</v>
          </cell>
          <cell r="G1016" t="str">
            <v>50</v>
          </cell>
          <cell r="H1016" t="str">
            <v>6</v>
          </cell>
          <cell r="K1016">
            <v>200</v>
          </cell>
          <cell r="L1016">
            <v>569</v>
          </cell>
          <cell r="M1016" t="str">
            <v>12.04.40.126.03</v>
          </cell>
          <cell r="N1016">
            <v>12000</v>
          </cell>
          <cell r="O1016" t="str">
            <v>A36</v>
          </cell>
          <cell r="P1016" t="str">
            <v>S</v>
          </cell>
        </row>
        <row r="1017">
          <cell r="A1017">
            <v>1016</v>
          </cell>
          <cell r="B1017" t="str">
            <v>"L" PERFIL ANGULAR LAMINADO A36</v>
          </cell>
          <cell r="C1017" t="str">
            <v>L 60x5</v>
          </cell>
          <cell r="D1017">
            <v>4.57</v>
          </cell>
          <cell r="E1017">
            <v>4.57</v>
          </cell>
          <cell r="F1017" t="str">
            <v>60</v>
          </cell>
          <cell r="G1017" t="str">
            <v>60</v>
          </cell>
          <cell r="H1017" t="str">
            <v>5</v>
          </cell>
          <cell r="K1017">
            <v>240</v>
          </cell>
          <cell r="L1017">
            <v>582</v>
          </cell>
          <cell r="O1017" t="str">
            <v>A36</v>
          </cell>
          <cell r="P1017" t="str">
            <v>N</v>
          </cell>
        </row>
        <row r="1018">
          <cell r="A1018">
            <v>1017</v>
          </cell>
          <cell r="B1018" t="str">
            <v>"L" PERFIL ANGULAR LAMINADO A36</v>
          </cell>
          <cell r="C1018" t="str">
            <v>L 60x6</v>
          </cell>
          <cell r="D1018">
            <v>5.4233333333333329</v>
          </cell>
          <cell r="E1018">
            <v>5.4233333333333329</v>
          </cell>
          <cell r="F1018" t="str">
            <v>60</v>
          </cell>
          <cell r="G1018" t="str">
            <v>60</v>
          </cell>
          <cell r="H1018" t="str">
            <v>6</v>
          </cell>
          <cell r="K1018">
            <v>240</v>
          </cell>
          <cell r="L1018">
            <v>691</v>
          </cell>
          <cell r="M1018" t="str">
            <v>12.04.40.162.00</v>
          </cell>
          <cell r="N1018">
            <v>6000</v>
          </cell>
          <cell r="O1018" t="str">
            <v>A36</v>
          </cell>
          <cell r="P1018" t="str">
            <v>N</v>
          </cell>
        </row>
        <row r="1019">
          <cell r="A1019">
            <v>1018</v>
          </cell>
          <cell r="B1019" t="str">
            <v>"L" PERFIL ANGULAR LAMINADO A36</v>
          </cell>
          <cell r="C1019" t="str">
            <v>L 65x5</v>
          </cell>
          <cell r="D1019">
            <v>4.95</v>
          </cell>
          <cell r="E1019">
            <v>4.95</v>
          </cell>
          <cell r="F1019" t="str">
            <v>65</v>
          </cell>
          <cell r="G1019" t="str">
            <v>65</v>
          </cell>
          <cell r="H1019" t="str">
            <v>5</v>
          </cell>
          <cell r="K1019">
            <v>260</v>
          </cell>
          <cell r="L1019">
            <v>625</v>
          </cell>
          <cell r="O1019" t="str">
            <v>A36</v>
          </cell>
          <cell r="P1019" t="str">
            <v>AE</v>
          </cell>
        </row>
        <row r="1020">
          <cell r="A1020">
            <v>1019</v>
          </cell>
          <cell r="B1020" t="str">
            <v>"L" PERFIL ANGULAR LAMINADO A36</v>
          </cell>
          <cell r="C1020" t="str">
            <v>L 65x6</v>
          </cell>
          <cell r="D1020">
            <v>5.91</v>
          </cell>
          <cell r="E1020">
            <v>5.91</v>
          </cell>
          <cell r="F1020" t="str">
            <v>65</v>
          </cell>
          <cell r="G1020" t="str">
            <v>65</v>
          </cell>
          <cell r="H1020" t="str">
            <v>6</v>
          </cell>
          <cell r="K1020">
            <v>260</v>
          </cell>
          <cell r="L1020">
            <v>744</v>
          </cell>
          <cell r="M1020" t="str">
            <v>12.04.40.180.01</v>
          </cell>
          <cell r="N1020">
            <v>6000</v>
          </cell>
          <cell r="O1020" t="str">
            <v>A36</v>
          </cell>
          <cell r="P1020" t="str">
            <v>AE</v>
          </cell>
        </row>
        <row r="1021">
          <cell r="A1021">
            <v>1020</v>
          </cell>
          <cell r="B1021" t="str">
            <v>"L" PERFIL ANGULAR LAMINADO A36</v>
          </cell>
          <cell r="C1021" t="str">
            <v>L 70x6</v>
          </cell>
          <cell r="D1021">
            <v>6.38</v>
          </cell>
          <cell r="E1021">
            <v>6.38</v>
          </cell>
          <cell r="F1021" t="str">
            <v>70</v>
          </cell>
          <cell r="G1021" t="str">
            <v>70</v>
          </cell>
          <cell r="H1021" t="str">
            <v>6</v>
          </cell>
          <cell r="K1021">
            <v>280</v>
          </cell>
          <cell r="L1021">
            <v>813.00000000000011</v>
          </cell>
          <cell r="O1021" t="str">
            <v>A36</v>
          </cell>
          <cell r="P1021" t="str">
            <v>N</v>
          </cell>
        </row>
        <row r="1022">
          <cell r="A1022">
            <v>1021</v>
          </cell>
          <cell r="B1022" t="str">
            <v>"L" PERFIL ANGULAR LAMINADO A36</v>
          </cell>
          <cell r="C1022" t="str">
            <v>L 75x6</v>
          </cell>
          <cell r="D1022">
            <v>6.85</v>
          </cell>
          <cell r="E1022">
            <v>6.85</v>
          </cell>
          <cell r="F1022" t="str">
            <v>75</v>
          </cell>
          <cell r="G1022" t="str">
            <v>75</v>
          </cell>
          <cell r="H1022" t="str">
            <v>6</v>
          </cell>
          <cell r="K1022">
            <v>300</v>
          </cell>
          <cell r="L1022">
            <v>866</v>
          </cell>
          <cell r="M1022" t="str">
            <v>12.04.40.234.01</v>
          </cell>
          <cell r="N1022">
            <v>6000</v>
          </cell>
          <cell r="O1022" t="str">
            <v>A36</v>
          </cell>
          <cell r="P1022" t="str">
            <v>S</v>
          </cell>
        </row>
        <row r="1023">
          <cell r="A1023">
            <v>1022</v>
          </cell>
          <cell r="B1023" t="str">
            <v>"L" PERFIL ANGULAR LAMINADO A36</v>
          </cell>
          <cell r="C1023" t="str">
            <v>L 75x8</v>
          </cell>
          <cell r="D1023">
            <v>9.0299999999999994</v>
          </cell>
          <cell r="E1023">
            <v>9.0299999999999994</v>
          </cell>
          <cell r="F1023" t="str">
            <v>75</v>
          </cell>
          <cell r="G1023" t="str">
            <v>75</v>
          </cell>
          <cell r="H1023" t="str">
            <v>8</v>
          </cell>
          <cell r="K1023">
            <v>300</v>
          </cell>
          <cell r="L1023">
            <v>1136</v>
          </cell>
          <cell r="M1023" t="str">
            <v>12.04.40.246.02</v>
          </cell>
          <cell r="O1023" t="str">
            <v>A36</v>
          </cell>
          <cell r="P1023" t="str">
            <v>S</v>
          </cell>
        </row>
        <row r="1024">
          <cell r="A1024">
            <v>1023</v>
          </cell>
          <cell r="B1024" t="str">
            <v>"L" PERFIL ANGULAR LAMINADO A36</v>
          </cell>
          <cell r="C1024" t="str">
            <v>L 100x6</v>
          </cell>
          <cell r="D1024">
            <v>9.3000000000000007</v>
          </cell>
          <cell r="E1024">
            <v>9.3000000000000007</v>
          </cell>
          <cell r="F1024" t="str">
            <v>100</v>
          </cell>
          <cell r="G1024" t="str">
            <v>100</v>
          </cell>
          <cell r="H1024" t="str">
            <v>6</v>
          </cell>
          <cell r="K1024">
            <v>400</v>
          </cell>
          <cell r="L1024">
            <v>1175</v>
          </cell>
          <cell r="M1024" t="str">
            <v>12.04.40.324.02</v>
          </cell>
          <cell r="O1024" t="str">
            <v>A36</v>
          </cell>
          <cell r="P1024" t="str">
            <v>S</v>
          </cell>
        </row>
        <row r="1025">
          <cell r="A1025">
            <v>1024</v>
          </cell>
          <cell r="B1025" t="str">
            <v>"L" PERFIL ANGULAR LAMINADO A36</v>
          </cell>
          <cell r="C1025" t="str">
            <v>L 100x8</v>
          </cell>
          <cell r="D1025">
            <v>12.200000000000001</v>
          </cell>
          <cell r="E1025">
            <v>12.200000000000001</v>
          </cell>
          <cell r="F1025" t="str">
            <v>100</v>
          </cell>
          <cell r="G1025" t="str">
            <v>100</v>
          </cell>
          <cell r="H1025" t="str">
            <v>8</v>
          </cell>
          <cell r="K1025">
            <v>400</v>
          </cell>
          <cell r="L1025">
            <v>1550</v>
          </cell>
          <cell r="M1025" t="str">
            <v>12.04.40.336.02</v>
          </cell>
          <cell r="O1025" t="str">
            <v>A36</v>
          </cell>
          <cell r="P1025" t="str">
            <v>S</v>
          </cell>
        </row>
        <row r="1026">
          <cell r="A1026">
            <v>1025</v>
          </cell>
          <cell r="B1026" t="str">
            <v>"L" PERFIL ANGULAR LAMINADO A36</v>
          </cell>
          <cell r="C1026" t="str">
            <v>L 100x10</v>
          </cell>
          <cell r="D1026">
            <v>15.1</v>
          </cell>
          <cell r="E1026">
            <v>15.1</v>
          </cell>
          <cell r="F1026" t="str">
            <v>100</v>
          </cell>
          <cell r="G1026" t="str">
            <v>100</v>
          </cell>
          <cell r="H1026" t="str">
            <v>10</v>
          </cell>
          <cell r="K1026">
            <v>400</v>
          </cell>
          <cell r="L1026">
            <v>1920</v>
          </cell>
          <cell r="M1026" t="str">
            <v>12.04.40.342.04</v>
          </cell>
          <cell r="O1026" t="str">
            <v>A36</v>
          </cell>
          <cell r="P1026" t="str">
            <v>S</v>
          </cell>
        </row>
        <row r="1027">
          <cell r="A1027">
            <v>1026</v>
          </cell>
          <cell r="B1027" t="str">
            <v>"L" PERFIL ANGULAR LAMINADO A36</v>
          </cell>
          <cell r="C1027" t="str">
            <v>L 100x12</v>
          </cell>
          <cell r="D1027">
            <v>17.8</v>
          </cell>
          <cell r="E1027">
            <v>17.8</v>
          </cell>
          <cell r="F1027" t="str">
            <v>100</v>
          </cell>
          <cell r="G1027" t="str">
            <v>100</v>
          </cell>
          <cell r="H1027" t="str">
            <v>12</v>
          </cell>
          <cell r="K1027">
            <v>400</v>
          </cell>
          <cell r="L1027">
            <v>2270</v>
          </cell>
          <cell r="O1027" t="str">
            <v>A36</v>
          </cell>
          <cell r="P1027" t="str">
            <v>S</v>
          </cell>
        </row>
        <row r="1028">
          <cell r="A1028">
            <v>1027</v>
          </cell>
          <cell r="B1028" t="str">
            <v>PERFIL ALUMINIO 16A</v>
          </cell>
          <cell r="C1028" t="str">
            <v>VIGA 16A</v>
          </cell>
          <cell r="D1028">
            <v>0.95</v>
          </cell>
          <cell r="E1028">
            <v>0.95</v>
          </cell>
          <cell r="M1028" t="str">
            <v>10.49.38.060.00</v>
          </cell>
          <cell r="P1028" t="str">
            <v>S</v>
          </cell>
        </row>
        <row r="1029">
          <cell r="A1029">
            <v>1028</v>
          </cell>
          <cell r="B1029" t="str">
            <v>PERFIL ALUMINIO 6241</v>
          </cell>
          <cell r="C1029" t="str">
            <v>PERFIL 6241</v>
          </cell>
          <cell r="D1029">
            <v>0.35</v>
          </cell>
          <cell r="E1029">
            <v>0.35</v>
          </cell>
          <cell r="M1029" t="str">
            <v>10.49.38.020.00</v>
          </cell>
          <cell r="P1029" t="str">
            <v>S</v>
          </cell>
        </row>
        <row r="1030">
          <cell r="A1030">
            <v>1029</v>
          </cell>
          <cell r="B1030" t="str">
            <v>PERFIL ALUMINIO 20B</v>
          </cell>
          <cell r="C1030" t="str">
            <v>VIGA 20B</v>
          </cell>
          <cell r="D1030">
            <v>1.6</v>
          </cell>
          <cell r="E1030">
            <v>1.6</v>
          </cell>
          <cell r="M1030" t="str">
            <v>10.49.38.010.00</v>
          </cell>
          <cell r="P1030" t="str">
            <v>S</v>
          </cell>
        </row>
        <row r="1031">
          <cell r="A1031">
            <v>1030</v>
          </cell>
          <cell r="B1031" t="str">
            <v>PERFIL ALUMINIO 20C</v>
          </cell>
          <cell r="C1031" t="str">
            <v>VIGA 20C</v>
          </cell>
          <cell r="D1031">
            <v>1.76</v>
          </cell>
          <cell r="E1031">
            <v>1.76</v>
          </cell>
          <cell r="M1031" t="str">
            <v>10.49.38.030.00</v>
          </cell>
          <cell r="P1031" t="str">
            <v>S</v>
          </cell>
        </row>
        <row r="1032">
          <cell r="A1032">
            <v>1031</v>
          </cell>
          <cell r="B1032" t="str">
            <v>ALUMINIO PLACA</v>
          </cell>
          <cell r="C1032" t="str">
            <v xml:space="preserve">Aluminio PLE 3mm </v>
          </cell>
          <cell r="D1032">
            <v>7.93</v>
          </cell>
          <cell r="E1032">
            <v>7.93</v>
          </cell>
          <cell r="M1032" t="str">
            <v>10.54.40.270.00</v>
          </cell>
          <cell r="P1032" t="str">
            <v>S</v>
          </cell>
        </row>
        <row r="1033">
          <cell r="A1033">
            <v>1032</v>
          </cell>
          <cell r="B1033" t="str">
            <v>PLACAS ASTM  A36 SOBRANTE</v>
          </cell>
          <cell r="C1033" t="str">
            <v>PLE 2mm</v>
          </cell>
          <cell r="D1033">
            <v>15.700000000000001</v>
          </cell>
          <cell r="E1033">
            <v>15.700000000000001</v>
          </cell>
          <cell r="M1033" t="str">
            <v>12.54.52.230.02</v>
          </cell>
          <cell r="O1033" t="str">
            <v>A36</v>
          </cell>
          <cell r="P1033" t="str">
            <v>S</v>
          </cell>
        </row>
        <row r="1034">
          <cell r="A1034">
            <v>1033</v>
          </cell>
          <cell r="B1034" t="str">
            <v>PLACAS ASTM  A36 SOBRANTE</v>
          </cell>
          <cell r="C1034" t="str">
            <v>PLE 3 mm</v>
          </cell>
          <cell r="D1034">
            <v>23.55</v>
          </cell>
          <cell r="E1034">
            <v>23.55</v>
          </cell>
          <cell r="M1034" t="str">
            <v>12.54.52.270.03</v>
          </cell>
          <cell r="O1034" t="str">
            <v>A36</v>
          </cell>
          <cell r="P1034" t="str">
            <v>S</v>
          </cell>
        </row>
        <row r="1035">
          <cell r="A1035">
            <v>1034</v>
          </cell>
          <cell r="B1035" t="str">
            <v>PLACAS ASTM  A36 SOBRANTE</v>
          </cell>
          <cell r="C1035" t="str">
            <v>PLE 4mm</v>
          </cell>
          <cell r="D1035">
            <v>31.400000000000002</v>
          </cell>
          <cell r="E1035">
            <v>31.400000000000002</v>
          </cell>
          <cell r="M1035" t="str">
            <v>12.54.52.290.02</v>
          </cell>
          <cell r="O1035" t="str">
            <v>A36</v>
          </cell>
          <cell r="P1035" t="str">
            <v>S</v>
          </cell>
        </row>
        <row r="1036">
          <cell r="A1036">
            <v>1035</v>
          </cell>
          <cell r="B1036" t="str">
            <v>PLACAS ASTM  A36 SOBRANTE</v>
          </cell>
          <cell r="C1036" t="str">
            <v>PLE 5mm</v>
          </cell>
          <cell r="D1036">
            <v>39.25</v>
          </cell>
          <cell r="E1036">
            <v>39.25</v>
          </cell>
          <cell r="M1036" t="str">
            <v>12.54.52.310.05</v>
          </cell>
          <cell r="O1036" t="str">
            <v>A36</v>
          </cell>
          <cell r="P1036" t="str">
            <v>S</v>
          </cell>
        </row>
        <row r="1037">
          <cell r="A1037">
            <v>1036</v>
          </cell>
          <cell r="B1037" t="str">
            <v>PLACAS ASTM  A36 SOBRANTE</v>
          </cell>
          <cell r="C1037" t="str">
            <v>PLE 6mm</v>
          </cell>
          <cell r="D1037">
            <v>47.1</v>
          </cell>
          <cell r="E1037">
            <v>47.1</v>
          </cell>
          <cell r="M1037" t="str">
            <v>12.54.52.330.06</v>
          </cell>
          <cell r="O1037" t="str">
            <v>A36</v>
          </cell>
          <cell r="P1037" t="str">
            <v>S</v>
          </cell>
        </row>
        <row r="1038">
          <cell r="A1038">
            <v>1037</v>
          </cell>
          <cell r="B1038" t="str">
            <v>PLACAS ASTM  A36 SOBRANTE</v>
          </cell>
          <cell r="C1038" t="str">
            <v>PLE 8mm</v>
          </cell>
          <cell r="D1038">
            <v>62.800000000000004</v>
          </cell>
          <cell r="E1038">
            <v>62.800000000000004</v>
          </cell>
          <cell r="M1038" t="str">
            <v>12.54.52.350.05</v>
          </cell>
          <cell r="O1038" t="str">
            <v>A36</v>
          </cell>
          <cell r="P1038" t="str">
            <v>S</v>
          </cell>
        </row>
        <row r="1039">
          <cell r="A1039">
            <v>1038</v>
          </cell>
          <cell r="B1039" t="str">
            <v>PLACAS ASTM  A36 SOBRANTE</v>
          </cell>
          <cell r="C1039" t="str">
            <v>PLE 10mm</v>
          </cell>
          <cell r="D1039">
            <v>78.5</v>
          </cell>
          <cell r="E1039">
            <v>78.5</v>
          </cell>
          <cell r="M1039" t="str">
            <v>12.54.52.370.03</v>
          </cell>
          <cell r="O1039" t="str">
            <v>A36</v>
          </cell>
          <cell r="P1039" t="str">
            <v>S</v>
          </cell>
        </row>
        <row r="1040">
          <cell r="A1040">
            <v>1039</v>
          </cell>
          <cell r="B1040" t="str">
            <v>PLACAS ASTM  A36 SOBRANTE</v>
          </cell>
          <cell r="C1040" t="str">
            <v>PLE 12mm</v>
          </cell>
          <cell r="D1040">
            <v>94.2</v>
          </cell>
          <cell r="E1040">
            <v>94.2</v>
          </cell>
          <cell r="M1040" t="str">
            <v>12.54.52.390.04</v>
          </cell>
          <cell r="O1040" t="str">
            <v>A36</v>
          </cell>
          <cell r="P1040" t="str">
            <v>S</v>
          </cell>
        </row>
        <row r="1041">
          <cell r="A1041">
            <v>1040</v>
          </cell>
          <cell r="B1041" t="str">
            <v>PLACAS ASTM  A36 SOBRANTE</v>
          </cell>
          <cell r="C1041" t="str">
            <v>PLE 15mm</v>
          </cell>
          <cell r="D1041">
            <v>117.75</v>
          </cell>
          <cell r="E1041">
            <v>117.75</v>
          </cell>
          <cell r="M1041" t="str">
            <v>12.54.52.420.05</v>
          </cell>
          <cell r="O1041" t="str">
            <v>A36</v>
          </cell>
          <cell r="P1041" t="str">
            <v>S</v>
          </cell>
        </row>
        <row r="1042">
          <cell r="A1042">
            <v>1041</v>
          </cell>
          <cell r="B1042" t="str">
            <v>PLACAS ASTM  A36 SOBRANTE</v>
          </cell>
          <cell r="C1042" t="str">
            <v>PLE 16mm</v>
          </cell>
          <cell r="D1042">
            <v>125.60000000000001</v>
          </cell>
          <cell r="E1042">
            <v>125.60000000000001</v>
          </cell>
          <cell r="M1042" t="str">
            <v>12.54.52.430.03</v>
          </cell>
          <cell r="O1042" t="str">
            <v>A36</v>
          </cell>
          <cell r="P1042" t="str">
            <v>S</v>
          </cell>
        </row>
        <row r="1043">
          <cell r="A1043">
            <v>1042</v>
          </cell>
          <cell r="B1043" t="str">
            <v>PLACAS ASTM  A36 SOBRANTE</v>
          </cell>
          <cell r="C1043" t="str">
            <v>PLE 18mm</v>
          </cell>
          <cell r="D1043">
            <v>141.29999999999998</v>
          </cell>
          <cell r="E1043">
            <v>141.29999999999998</v>
          </cell>
          <cell r="M1043" t="str">
            <v>12.54.52.450.02</v>
          </cell>
          <cell r="O1043" t="str">
            <v>A36</v>
          </cell>
          <cell r="P1043" t="str">
            <v>S</v>
          </cell>
        </row>
        <row r="1044">
          <cell r="A1044">
            <v>1043</v>
          </cell>
          <cell r="B1044" t="str">
            <v>PLACAS ASTM  A36 SOBRANTE</v>
          </cell>
          <cell r="C1044" t="str">
            <v>PLE 20mm</v>
          </cell>
          <cell r="D1044">
            <v>157</v>
          </cell>
          <cell r="E1044">
            <v>157</v>
          </cell>
          <cell r="M1044" t="str">
            <v>12.54.52.470.04</v>
          </cell>
          <cell r="O1044" t="str">
            <v>A36</v>
          </cell>
          <cell r="P1044" t="str">
            <v>S</v>
          </cell>
        </row>
        <row r="1045">
          <cell r="A1045">
            <v>1044</v>
          </cell>
          <cell r="B1045" t="str">
            <v>PLACAS ASTM  A36 SOBRANTE</v>
          </cell>
          <cell r="C1045" t="str">
            <v>PLE 22mm</v>
          </cell>
          <cell r="D1045">
            <v>172.7</v>
          </cell>
          <cell r="E1045">
            <v>172.7</v>
          </cell>
          <cell r="M1045" t="str">
            <v>12.54.52.490.02</v>
          </cell>
          <cell r="O1045" t="str">
            <v>A36</v>
          </cell>
          <cell r="P1045" t="str">
            <v>S</v>
          </cell>
        </row>
        <row r="1046">
          <cell r="A1046">
            <v>1045</v>
          </cell>
          <cell r="B1046" t="str">
            <v>PLACAS ASTM  A36 SOBRANTE</v>
          </cell>
          <cell r="C1046" t="str">
            <v>PLE 25mm</v>
          </cell>
          <cell r="D1046">
            <v>196.25</v>
          </cell>
          <cell r="E1046">
            <v>196.25</v>
          </cell>
          <cell r="M1046" t="str">
            <v>12.54.52.510.03</v>
          </cell>
          <cell r="O1046" t="str">
            <v>A36</v>
          </cell>
          <cell r="P1046" t="str">
            <v>S</v>
          </cell>
        </row>
        <row r="1047">
          <cell r="A1047">
            <v>1046</v>
          </cell>
          <cell r="B1047" t="str">
            <v>PLACAS ASTM  A36 SOBRANTE</v>
          </cell>
          <cell r="C1047" t="str">
            <v>PLE 30mm</v>
          </cell>
          <cell r="D1047">
            <v>235.5</v>
          </cell>
          <cell r="E1047">
            <v>235.5</v>
          </cell>
          <cell r="M1047" t="str">
            <v>12.54.52.520.03</v>
          </cell>
          <cell r="O1047" t="str">
            <v>A36</v>
          </cell>
          <cell r="P1047" t="str">
            <v>S</v>
          </cell>
        </row>
        <row r="1048">
          <cell r="A1048">
            <v>1047</v>
          </cell>
          <cell r="B1048" t="str">
            <v>PLACAS ASTM  A36 SOBRANTE</v>
          </cell>
          <cell r="C1048" t="str">
            <v>PLE 38mm</v>
          </cell>
          <cell r="D1048">
            <v>298.3</v>
          </cell>
          <cell r="E1048">
            <v>298.3</v>
          </cell>
          <cell r="M1048" t="str">
            <v>12.54.52.550.01</v>
          </cell>
          <cell r="O1048" t="str">
            <v>A36</v>
          </cell>
          <cell r="P1048" t="str">
            <v>N</v>
          </cell>
        </row>
        <row r="1049">
          <cell r="A1049">
            <v>1048</v>
          </cell>
          <cell r="B1049" t="str">
            <v>PLACAS ASTM  A36 SOBRANTE</v>
          </cell>
          <cell r="C1049" t="str">
            <v>PLE 50mm</v>
          </cell>
          <cell r="D1049">
            <v>392.5</v>
          </cell>
          <cell r="E1049">
            <v>392.5</v>
          </cell>
          <cell r="M1049" t="str">
            <v>12.54.52.580.03</v>
          </cell>
          <cell r="O1049" t="str">
            <v>A36</v>
          </cell>
          <cell r="P1049" t="str">
            <v>N</v>
          </cell>
        </row>
        <row r="1050">
          <cell r="A1050">
            <v>1049</v>
          </cell>
          <cell r="B1050" t="str">
            <v>PLACAS ASTM  A36 SOBRANTE</v>
          </cell>
          <cell r="C1050" t="str">
            <v>PLE 65mm</v>
          </cell>
          <cell r="D1050">
            <v>510.25</v>
          </cell>
          <cell r="E1050">
            <v>510.25</v>
          </cell>
          <cell r="M1050" t="str">
            <v>12.54.52.610.0</v>
          </cell>
          <cell r="O1050" t="str">
            <v>A36</v>
          </cell>
          <cell r="P1050" t="str">
            <v>S</v>
          </cell>
        </row>
        <row r="1051">
          <cell r="A1051">
            <v>1050</v>
          </cell>
          <cell r="B1051" t="str">
            <v>PLACAS ASTM  A36 SOBRANTE</v>
          </cell>
          <cell r="C1051" t="str">
            <v>PLE 75mm</v>
          </cell>
          <cell r="D1051">
            <v>588.75</v>
          </cell>
          <cell r="E1051">
            <v>588.75</v>
          </cell>
          <cell r="M1051" t="str">
            <v>12.54.52.630.01</v>
          </cell>
          <cell r="O1051" t="str">
            <v>A36</v>
          </cell>
          <cell r="P1051" t="str">
            <v>S</v>
          </cell>
        </row>
        <row r="1052">
          <cell r="A1052">
            <v>1051</v>
          </cell>
          <cell r="B1052" t="str">
            <v>PLACAS ASTM  A36 SOBRANTE</v>
          </cell>
          <cell r="C1052" t="str">
            <v>PLE 100mm</v>
          </cell>
          <cell r="D1052">
            <v>785</v>
          </cell>
          <cell r="E1052">
            <v>785</v>
          </cell>
          <cell r="M1052" t="str">
            <v>12.54.52.680.03</v>
          </cell>
          <cell r="O1052" t="str">
            <v>A36</v>
          </cell>
          <cell r="P1052" t="str">
            <v>N</v>
          </cell>
        </row>
        <row r="1053">
          <cell r="A1053">
            <v>1052</v>
          </cell>
          <cell r="B1053" t="str">
            <v>PLACAS ASTM  A572-G50 SOBRANTE</v>
          </cell>
          <cell r="C1053" t="str">
            <v>PLE 3 mm</v>
          </cell>
          <cell r="D1053">
            <v>23.55</v>
          </cell>
          <cell r="E1053">
            <v>23.55</v>
          </cell>
          <cell r="M1053" t="str">
            <v>12.54.52.270.04</v>
          </cell>
          <cell r="O1053" t="str">
            <v>A572 G50</v>
          </cell>
          <cell r="P1053" t="str">
            <v>S</v>
          </cell>
        </row>
        <row r="1054">
          <cell r="A1054">
            <v>1053</v>
          </cell>
          <cell r="B1054" t="str">
            <v>PLACAS ASTM  A572-G50 SOBRANTE</v>
          </cell>
          <cell r="C1054" t="str">
            <v>PLE 4mm</v>
          </cell>
          <cell r="D1054">
            <v>31.400000000000002</v>
          </cell>
          <cell r="E1054">
            <v>31.400000000000002</v>
          </cell>
          <cell r="M1054" t="str">
            <v>12.54.52.290.03</v>
          </cell>
          <cell r="O1054" t="str">
            <v>A572 G50</v>
          </cell>
          <cell r="P1054" t="str">
            <v>S</v>
          </cell>
        </row>
        <row r="1055">
          <cell r="A1055">
            <v>1054</v>
          </cell>
          <cell r="B1055" t="str">
            <v>PLACAS ASTM  A572-G50 SOBRANTE</v>
          </cell>
          <cell r="C1055" t="str">
            <v>PLE 5mm</v>
          </cell>
          <cell r="D1055">
            <v>39.25</v>
          </cell>
          <cell r="E1055">
            <v>39.25</v>
          </cell>
          <cell r="M1055" t="str">
            <v>12.54.52.310.04</v>
          </cell>
          <cell r="O1055" t="str">
            <v>A572 G50</v>
          </cell>
          <cell r="P1055" t="str">
            <v>S</v>
          </cell>
        </row>
        <row r="1056">
          <cell r="A1056">
            <v>1055</v>
          </cell>
          <cell r="B1056" t="str">
            <v>PLACAS ASTM  A572-G50 SOBRANTE</v>
          </cell>
          <cell r="C1056" t="str">
            <v>PLE 6mm</v>
          </cell>
          <cell r="D1056">
            <v>47.1</v>
          </cell>
          <cell r="E1056">
            <v>47.1</v>
          </cell>
          <cell r="M1056" t="str">
            <v>12.54.52.330.05</v>
          </cell>
          <cell r="O1056" t="str">
            <v>A572 G50</v>
          </cell>
          <cell r="P1056" t="str">
            <v>S</v>
          </cell>
        </row>
        <row r="1057">
          <cell r="A1057">
            <v>1056</v>
          </cell>
          <cell r="B1057" t="str">
            <v>PLACAS ASTM  A572-G50 SOBRANTE</v>
          </cell>
          <cell r="C1057" t="str">
            <v>PLE 8mm</v>
          </cell>
          <cell r="D1057">
            <v>62.800000000000004</v>
          </cell>
          <cell r="E1057">
            <v>62.800000000000004</v>
          </cell>
          <cell r="M1057" t="str">
            <v>12.54.52.350.06</v>
          </cell>
          <cell r="O1057" t="str">
            <v>A572 G50</v>
          </cell>
          <cell r="P1057" t="str">
            <v>S</v>
          </cell>
        </row>
        <row r="1058">
          <cell r="A1058">
            <v>1057</v>
          </cell>
          <cell r="B1058" t="str">
            <v>PLACAS ASTM  A572-G50 SOBRANTE</v>
          </cell>
          <cell r="C1058" t="str">
            <v>PLE 10mm</v>
          </cell>
          <cell r="D1058">
            <v>78.5</v>
          </cell>
          <cell r="E1058">
            <v>78.5</v>
          </cell>
          <cell r="M1058" t="str">
            <v>12.54.52.370.04</v>
          </cell>
          <cell r="O1058" t="str">
            <v>A572 G50</v>
          </cell>
          <cell r="P1058" t="str">
            <v>S</v>
          </cell>
        </row>
        <row r="1059">
          <cell r="A1059">
            <v>1058</v>
          </cell>
          <cell r="B1059" t="str">
            <v>PLACAS ASTM  A572-G50 SOBRANTE</v>
          </cell>
          <cell r="C1059" t="str">
            <v>PLE 12mm</v>
          </cell>
          <cell r="D1059">
            <v>94.2</v>
          </cell>
          <cell r="E1059">
            <v>94.2</v>
          </cell>
          <cell r="M1059" t="str">
            <v>12.54.52.390.05</v>
          </cell>
          <cell r="O1059" t="str">
            <v>A572 G50</v>
          </cell>
          <cell r="P1059" t="str">
            <v>S</v>
          </cell>
        </row>
        <row r="1060">
          <cell r="A1060">
            <v>1059</v>
          </cell>
          <cell r="B1060" t="str">
            <v>PLACAS ASTM  A572-G50 SOBRANTE</v>
          </cell>
          <cell r="C1060" t="str">
            <v>PLE 15mm</v>
          </cell>
          <cell r="D1060">
            <v>117.75</v>
          </cell>
          <cell r="E1060">
            <v>117.75</v>
          </cell>
          <cell r="M1060" t="str">
            <v>12.54.52.420.04</v>
          </cell>
          <cell r="O1060" t="str">
            <v>A572 G50</v>
          </cell>
          <cell r="P1060" t="str">
            <v>S</v>
          </cell>
        </row>
        <row r="1061">
          <cell r="A1061">
            <v>1060</v>
          </cell>
          <cell r="B1061" t="str">
            <v>PLACAS ASTM  A572-G50 SOBRANTE</v>
          </cell>
          <cell r="C1061" t="str">
            <v>PLE 16mm</v>
          </cell>
          <cell r="D1061">
            <v>125.60000000000001</v>
          </cell>
          <cell r="E1061">
            <v>125.60000000000001</v>
          </cell>
          <cell r="M1061" t="str">
            <v>12.54.52.430.02</v>
          </cell>
          <cell r="O1061" t="str">
            <v>A572 G50</v>
          </cell>
          <cell r="P1061" t="str">
            <v>S</v>
          </cell>
        </row>
        <row r="1062">
          <cell r="A1062">
            <v>1061</v>
          </cell>
          <cell r="B1062" t="str">
            <v>PLACAS ASTM  A572-G50 SOBRANTE</v>
          </cell>
          <cell r="C1062" t="str">
            <v>PLE 18mm</v>
          </cell>
          <cell r="D1062">
            <v>141.29999999999998</v>
          </cell>
          <cell r="E1062">
            <v>141.29999999999998</v>
          </cell>
          <cell r="M1062" t="str">
            <v>12.54.52.450.03</v>
          </cell>
          <cell r="O1062" t="str">
            <v>A572 G50</v>
          </cell>
          <cell r="P1062" t="str">
            <v>S</v>
          </cell>
        </row>
        <row r="1063">
          <cell r="A1063">
            <v>1062</v>
          </cell>
          <cell r="B1063" t="str">
            <v>PLACAS ASTM  A572-G50 SOBRANTE</v>
          </cell>
          <cell r="C1063" t="str">
            <v>PLE 20mm</v>
          </cell>
          <cell r="D1063">
            <v>157</v>
          </cell>
          <cell r="E1063">
            <v>157</v>
          </cell>
          <cell r="M1063" t="str">
            <v>12.54.52.470.05</v>
          </cell>
          <cell r="O1063" t="str">
            <v>A572 G50</v>
          </cell>
          <cell r="P1063" t="str">
            <v>S</v>
          </cell>
        </row>
        <row r="1064">
          <cell r="A1064">
            <v>1063</v>
          </cell>
          <cell r="B1064" t="str">
            <v>PLACAS ASTM  A572-G50 SOBRANTE</v>
          </cell>
          <cell r="C1064" t="str">
            <v>PLE 22mm</v>
          </cell>
          <cell r="D1064">
            <v>172.7</v>
          </cell>
          <cell r="E1064">
            <v>172.7</v>
          </cell>
          <cell r="M1064" t="str">
            <v>12.54.52.490.03</v>
          </cell>
          <cell r="O1064" t="str">
            <v>A572 G50</v>
          </cell>
          <cell r="P1064" t="str">
            <v>S</v>
          </cell>
        </row>
        <row r="1065">
          <cell r="A1065">
            <v>1064</v>
          </cell>
          <cell r="B1065" t="str">
            <v>PLACAS ASTM  A572-G50 SOBRANTE</v>
          </cell>
          <cell r="C1065" t="str">
            <v>PLE 25mm</v>
          </cell>
          <cell r="D1065">
            <v>196.25</v>
          </cell>
          <cell r="E1065">
            <v>196.25</v>
          </cell>
          <cell r="M1065" t="str">
            <v>12.54.52.510.04</v>
          </cell>
          <cell r="O1065" t="str">
            <v>A572 G50</v>
          </cell>
          <cell r="P1065" t="str">
            <v>S</v>
          </cell>
        </row>
        <row r="1066">
          <cell r="A1066">
            <v>1065</v>
          </cell>
          <cell r="B1066" t="str">
            <v>PLACAS ASTM  A572-G50 SOBRANTE</v>
          </cell>
          <cell r="C1066" t="str">
            <v>PLE 30mm</v>
          </cell>
          <cell r="D1066">
            <v>235.5</v>
          </cell>
          <cell r="E1066">
            <v>235.5</v>
          </cell>
          <cell r="M1066" t="str">
            <v>12.54.52.520.04</v>
          </cell>
          <cell r="O1066" t="str">
            <v>A572 G50</v>
          </cell>
          <cell r="P1066" t="str">
            <v>S</v>
          </cell>
        </row>
        <row r="1067">
          <cell r="A1067">
            <v>1066</v>
          </cell>
          <cell r="B1067" t="str">
            <v>PLACAS ASTM  A572-G50 SOBRANTE</v>
          </cell>
          <cell r="C1067" t="str">
            <v>PLE 38mm</v>
          </cell>
          <cell r="D1067">
            <v>298.3</v>
          </cell>
          <cell r="E1067">
            <v>298.3</v>
          </cell>
          <cell r="M1067" t="str">
            <v>12.54.52.550.05</v>
          </cell>
          <cell r="O1067" t="str">
            <v>A572 G50</v>
          </cell>
          <cell r="P1067" t="str">
            <v>N</v>
          </cell>
        </row>
        <row r="1068">
          <cell r="A1068">
            <v>1067</v>
          </cell>
          <cell r="B1068" t="str">
            <v>PLACAS ASTM  A572-G50 SOBRANTE</v>
          </cell>
          <cell r="C1068" t="str">
            <v>PLE 40mm</v>
          </cell>
          <cell r="D1068">
            <v>314</v>
          </cell>
          <cell r="E1068">
            <v>314</v>
          </cell>
          <cell r="M1068" t="str">
            <v>12.54.52.560.03</v>
          </cell>
          <cell r="O1068" t="str">
            <v>A572 G50</v>
          </cell>
          <cell r="P1068" t="str">
            <v>S</v>
          </cell>
        </row>
        <row r="1069">
          <cell r="A1069">
            <v>1068</v>
          </cell>
          <cell r="B1069" t="str">
            <v>PLACAS ASTM  A572-G50 SOBRANTE</v>
          </cell>
          <cell r="C1069" t="str">
            <v>PLE 45mm</v>
          </cell>
          <cell r="D1069">
            <v>353.25</v>
          </cell>
          <cell r="E1069">
            <v>353.25</v>
          </cell>
          <cell r="M1069" t="str">
            <v>12.54.52.570.06</v>
          </cell>
          <cell r="O1069" t="str">
            <v>A572 G50</v>
          </cell>
          <cell r="P1069" t="str">
            <v>S</v>
          </cell>
        </row>
        <row r="1070">
          <cell r="A1070">
            <v>1069</v>
          </cell>
          <cell r="B1070" t="str">
            <v>PLACAS ASTM  A572-G50 SOBRANTE</v>
          </cell>
          <cell r="C1070" t="str">
            <v>PLE 50mm</v>
          </cell>
          <cell r="D1070">
            <v>392.5</v>
          </cell>
          <cell r="E1070">
            <v>392.5</v>
          </cell>
          <cell r="M1070" t="str">
            <v>12.54.52.580.0B</v>
          </cell>
          <cell r="O1070" t="str">
            <v>A572 G50</v>
          </cell>
          <cell r="P1070" t="str">
            <v>N</v>
          </cell>
        </row>
        <row r="1071">
          <cell r="A1071">
            <v>1070</v>
          </cell>
          <cell r="B1071" t="str">
            <v>PLACAS ASTM  A588 SOBRANTE</v>
          </cell>
          <cell r="C1071" t="str">
            <v>PLE 6mm</v>
          </cell>
          <cell r="D1071">
            <v>47.1</v>
          </cell>
          <cell r="E1071">
            <v>47.1</v>
          </cell>
          <cell r="O1071" t="str">
            <v>A588</v>
          </cell>
          <cell r="P1071" t="str">
            <v>S</v>
          </cell>
        </row>
        <row r="1072">
          <cell r="A1072">
            <v>1071</v>
          </cell>
          <cell r="B1072" t="str">
            <v>PLACAS ASTM  A588 SOBRANTE</v>
          </cell>
          <cell r="C1072" t="str">
            <v>PLE 8mm</v>
          </cell>
          <cell r="D1072">
            <v>62.800000000000004</v>
          </cell>
          <cell r="E1072">
            <v>62.800000000000004</v>
          </cell>
          <cell r="M1072" t="str">
            <v>12.54.52.350.07</v>
          </cell>
          <cell r="O1072" t="str">
            <v>A588</v>
          </cell>
          <cell r="P1072" t="str">
            <v>S</v>
          </cell>
        </row>
        <row r="1073">
          <cell r="A1073">
            <v>1072</v>
          </cell>
          <cell r="B1073" t="str">
            <v>PLACAS ASTM  A588 SOBRANTE</v>
          </cell>
          <cell r="C1073" t="str">
            <v>PLE 10mm</v>
          </cell>
          <cell r="D1073">
            <v>78.5</v>
          </cell>
          <cell r="E1073">
            <v>78.5</v>
          </cell>
          <cell r="M1073" t="str">
            <v>12.54.52.370.05</v>
          </cell>
          <cell r="O1073" t="str">
            <v>A588</v>
          </cell>
          <cell r="P1073" t="str">
            <v>S</v>
          </cell>
        </row>
        <row r="1074">
          <cell r="A1074">
            <v>1073</v>
          </cell>
          <cell r="B1074" t="str">
            <v>PLACAS ASTM  A588 SOBRANTE</v>
          </cell>
          <cell r="C1074" t="str">
            <v>PLE 12mm</v>
          </cell>
          <cell r="D1074">
            <v>94.2</v>
          </cell>
          <cell r="E1074">
            <v>94.2</v>
          </cell>
          <cell r="M1074" t="str">
            <v>12.54.52.390.0J</v>
          </cell>
          <cell r="O1074" t="str">
            <v>A588</v>
          </cell>
          <cell r="P1074" t="str">
            <v>S</v>
          </cell>
        </row>
        <row r="1075">
          <cell r="A1075">
            <v>1074</v>
          </cell>
          <cell r="B1075" t="str">
            <v>PLACAS ASTM  A588 SOBRANTE</v>
          </cell>
          <cell r="C1075" t="str">
            <v>PLE 15mm</v>
          </cell>
          <cell r="D1075">
            <v>117.75</v>
          </cell>
          <cell r="E1075">
            <v>117.75</v>
          </cell>
          <cell r="O1075" t="str">
            <v>A588</v>
          </cell>
          <cell r="P1075" t="str">
            <v>S</v>
          </cell>
        </row>
        <row r="1076">
          <cell r="A1076">
            <v>1075</v>
          </cell>
          <cell r="B1076" t="str">
            <v>PLACAS ASTM  A588 SOBRANTE</v>
          </cell>
          <cell r="C1076" t="str">
            <v>PLE 20mm</v>
          </cell>
          <cell r="D1076">
            <v>157</v>
          </cell>
          <cell r="E1076">
            <v>157</v>
          </cell>
          <cell r="M1076" t="str">
            <v>12.54.52.470.06</v>
          </cell>
          <cell r="O1076" t="str">
            <v>A588</v>
          </cell>
          <cell r="P1076" t="str">
            <v>S</v>
          </cell>
        </row>
        <row r="1077">
          <cell r="A1077">
            <v>1076</v>
          </cell>
          <cell r="B1077" t="str">
            <v>PLACAS ASTM  A588 SOBRANTE</v>
          </cell>
          <cell r="C1077" t="str">
            <v>PLE 25mm</v>
          </cell>
          <cell r="D1077">
            <v>196.25</v>
          </cell>
          <cell r="E1077">
            <v>196.25</v>
          </cell>
          <cell r="M1077" t="str">
            <v>12.54.52.510.05</v>
          </cell>
          <cell r="O1077" t="str">
            <v>A588</v>
          </cell>
          <cell r="P1077" t="str">
            <v>S</v>
          </cell>
        </row>
        <row r="1078">
          <cell r="A1078">
            <v>1077</v>
          </cell>
          <cell r="B1078" t="str">
            <v>PLACAS ASTM  A588 SOBRANTE</v>
          </cell>
          <cell r="C1078" t="str">
            <v>PLE 30mm</v>
          </cell>
          <cell r="D1078">
            <v>235.5</v>
          </cell>
          <cell r="E1078">
            <v>235.5</v>
          </cell>
          <cell r="M1078" t="str">
            <v>12.54.52.520.05</v>
          </cell>
          <cell r="O1078" t="str">
            <v>A588</v>
          </cell>
          <cell r="P1078" t="str">
            <v>S</v>
          </cell>
        </row>
        <row r="1079">
          <cell r="A1079">
            <v>1078</v>
          </cell>
          <cell r="B1079" t="str">
            <v>PLACAS ASTM  A588 SOBRANTE</v>
          </cell>
          <cell r="C1079" t="str">
            <v>PLE 35mm</v>
          </cell>
          <cell r="D1079">
            <v>274.75</v>
          </cell>
          <cell r="E1079">
            <v>274.75</v>
          </cell>
          <cell r="O1079" t="str">
            <v>A588</v>
          </cell>
          <cell r="P1079" t="str">
            <v>S</v>
          </cell>
        </row>
        <row r="1080">
          <cell r="A1080">
            <v>1079</v>
          </cell>
          <cell r="B1080" t="str">
            <v>PLACAS ASTM  A588 SOBRANTE</v>
          </cell>
          <cell r="C1080" t="str">
            <v>PLE 40mm</v>
          </cell>
          <cell r="D1080">
            <v>314</v>
          </cell>
          <cell r="E1080">
            <v>314</v>
          </cell>
          <cell r="M1080" t="str">
            <v>12.54.52.560.02</v>
          </cell>
          <cell r="O1080" t="str">
            <v>A588</v>
          </cell>
          <cell r="P1080" t="str">
            <v>S</v>
          </cell>
        </row>
        <row r="1081">
          <cell r="A1081">
            <v>1080</v>
          </cell>
          <cell r="B1081" t="str">
            <v>PLACAS ASTM  A588 SOBRANTE</v>
          </cell>
          <cell r="C1081" t="str">
            <v>PLE 45mm</v>
          </cell>
          <cell r="D1081">
            <v>353.25</v>
          </cell>
          <cell r="E1081">
            <v>353.25</v>
          </cell>
          <cell r="O1081" t="str">
            <v>A588</v>
          </cell>
          <cell r="P1081" t="str">
            <v>S</v>
          </cell>
        </row>
        <row r="1082">
          <cell r="A1082">
            <v>1081</v>
          </cell>
          <cell r="B1082" t="str">
            <v>PLACAS ASTM  A588 SOBRANTE</v>
          </cell>
          <cell r="C1082" t="str">
            <v>PLE 50mm</v>
          </cell>
          <cell r="D1082">
            <v>392.5</v>
          </cell>
          <cell r="E1082">
            <v>392.5</v>
          </cell>
          <cell r="O1082" t="str">
            <v>A588</v>
          </cell>
          <cell r="P1082" t="str">
            <v>N</v>
          </cell>
        </row>
        <row r="1083">
          <cell r="A1083">
            <v>1082</v>
          </cell>
          <cell r="B1083" t="str">
            <v>"C" PERFIL ESTRUCTURAL SOBRANTE</v>
          </cell>
          <cell r="C1083" t="str">
            <v>C 150x50x3</v>
          </cell>
          <cell r="D1083">
            <v>5.66</v>
          </cell>
          <cell r="E1083">
            <v>5.66</v>
          </cell>
          <cell r="F1083">
            <v>50</v>
          </cell>
          <cell r="G1083">
            <v>150</v>
          </cell>
          <cell r="H1083">
            <v>3</v>
          </cell>
          <cell r="K1083">
            <v>491</v>
          </cell>
          <cell r="L1083">
            <v>720</v>
          </cell>
          <cell r="M1083" t="str">
            <v>99.50.05.180.0</v>
          </cell>
          <cell r="O1083" t="str">
            <v>A36</v>
          </cell>
          <cell r="P1083" t="str">
            <v>S</v>
          </cell>
        </row>
        <row r="1084">
          <cell r="A1084">
            <v>1083</v>
          </cell>
          <cell r="B1084" t="str">
            <v>"C" PERFIL ESTRUCTURAL SOBRANTE</v>
          </cell>
          <cell r="C1084" t="str">
            <v>C 150x50x6</v>
          </cell>
          <cell r="D1084">
            <v>11.06</v>
          </cell>
          <cell r="E1084">
            <v>11.06</v>
          </cell>
          <cell r="F1084">
            <v>50</v>
          </cell>
          <cell r="G1084">
            <v>150</v>
          </cell>
          <cell r="H1084">
            <v>6</v>
          </cell>
          <cell r="K1084">
            <v>482</v>
          </cell>
          <cell r="L1084">
            <v>1382</v>
          </cell>
          <cell r="M1084" t="str">
            <v>99.50.05.195.0</v>
          </cell>
          <cell r="O1084" t="str">
            <v>A36</v>
          </cell>
          <cell r="P1084" t="str">
            <v>S</v>
          </cell>
        </row>
        <row r="1085">
          <cell r="A1085">
            <v>1084</v>
          </cell>
          <cell r="B1085" t="str">
            <v>"C" PERFIL ESTRUCTURAL SOBRANTE</v>
          </cell>
          <cell r="C1085" t="str">
            <v>C 160x65x8</v>
          </cell>
          <cell r="D1085">
            <v>18.21</v>
          </cell>
          <cell r="E1085">
            <v>18.21</v>
          </cell>
          <cell r="F1085">
            <v>65</v>
          </cell>
          <cell r="G1085">
            <v>160</v>
          </cell>
          <cell r="H1085">
            <v>8</v>
          </cell>
          <cell r="K1085">
            <v>556</v>
          </cell>
          <cell r="M1085" t="str">
            <v>99.50.05.525.0</v>
          </cell>
          <cell r="O1085" t="str">
            <v>A36</v>
          </cell>
          <cell r="P1085" t="str">
            <v>N</v>
          </cell>
        </row>
        <row r="1086">
          <cell r="A1086">
            <v>1085</v>
          </cell>
          <cell r="B1086" t="str">
            <v>"C" PERFIL ESTRUCTURAL SOBRANTE</v>
          </cell>
          <cell r="C1086" t="str">
            <v>C 200x50x3</v>
          </cell>
          <cell r="D1086">
            <v>6.8299999999999992</v>
          </cell>
          <cell r="E1086">
            <v>6.8299999999999992</v>
          </cell>
          <cell r="F1086">
            <v>50</v>
          </cell>
          <cell r="G1086">
            <v>200</v>
          </cell>
          <cell r="H1086">
            <v>3</v>
          </cell>
          <cell r="K1086">
            <v>591</v>
          </cell>
          <cell r="L1086">
            <v>869.99999999999989</v>
          </cell>
          <cell r="M1086" t="str">
            <v>99.50.05.260.01</v>
          </cell>
          <cell r="O1086" t="str">
            <v>A36</v>
          </cell>
          <cell r="P1086" t="str">
            <v>S</v>
          </cell>
        </row>
        <row r="1087">
          <cell r="A1087">
            <v>1086</v>
          </cell>
          <cell r="B1087" t="str">
            <v>"C" PERFIL ESTRUCTURAL SOBRANTE</v>
          </cell>
          <cell r="C1087" t="str">
            <v>C 200x50x4</v>
          </cell>
          <cell r="D1087">
            <v>9.01</v>
          </cell>
          <cell r="E1087">
            <v>9.01</v>
          </cell>
          <cell r="F1087">
            <v>50</v>
          </cell>
          <cell r="G1087">
            <v>200</v>
          </cell>
          <cell r="H1087">
            <v>4</v>
          </cell>
          <cell r="K1087">
            <v>588</v>
          </cell>
          <cell r="L1087">
            <v>1150</v>
          </cell>
          <cell r="M1087" t="str">
            <v>99.50.05.265.0</v>
          </cell>
          <cell r="O1087" t="str">
            <v>A36</v>
          </cell>
          <cell r="P1087" t="str">
            <v>S</v>
          </cell>
        </row>
        <row r="1088">
          <cell r="A1088">
            <v>1087</v>
          </cell>
          <cell r="B1088" t="str">
            <v>"C" PERFIL ESTRUCTURAL SOBRANTE</v>
          </cell>
          <cell r="C1088" t="str">
            <v>C 200x50x5</v>
          </cell>
          <cell r="D1088">
            <v>11.1</v>
          </cell>
          <cell r="E1088">
            <v>11.1</v>
          </cell>
          <cell r="F1088">
            <v>50</v>
          </cell>
          <cell r="G1088">
            <v>200</v>
          </cell>
          <cell r="H1088">
            <v>5</v>
          </cell>
          <cell r="K1088">
            <v>585</v>
          </cell>
          <cell r="L1088">
            <v>1420</v>
          </cell>
          <cell r="M1088" t="str">
            <v>99.50.05.270.0</v>
          </cell>
          <cell r="O1088" t="str">
            <v>A36</v>
          </cell>
          <cell r="P1088" t="str">
            <v>N</v>
          </cell>
        </row>
        <row r="1089">
          <cell r="A1089">
            <v>1088</v>
          </cell>
          <cell r="B1089" t="str">
            <v>"C" PERFIL ESTRUCTURAL SOBRANTE</v>
          </cell>
          <cell r="C1089" t="str">
            <v>C 200x80x6</v>
          </cell>
          <cell r="D1089">
            <v>16.34</v>
          </cell>
          <cell r="E1089">
            <v>16.34</v>
          </cell>
          <cell r="F1089">
            <v>80</v>
          </cell>
          <cell r="G1089">
            <v>200</v>
          </cell>
          <cell r="H1089">
            <v>6</v>
          </cell>
          <cell r="K1089">
            <v>702</v>
          </cell>
          <cell r="L1089">
            <v>2042</v>
          </cell>
          <cell r="M1089" t="str">
            <v>90.50.05.310.0</v>
          </cell>
          <cell r="O1089" t="str">
            <v>A36</v>
          </cell>
          <cell r="P1089" t="str">
            <v>N</v>
          </cell>
        </row>
        <row r="1090">
          <cell r="A1090">
            <v>1089</v>
          </cell>
          <cell r="B1090" t="str">
            <v>"C" PERFIL ESTRUCTURAL SOBRANTE</v>
          </cell>
          <cell r="C1090" t="str">
            <v>C 200x80x8</v>
          </cell>
          <cell r="D1090">
            <v>21.349999999999998</v>
          </cell>
          <cell r="E1090">
            <v>21.349999999999998</v>
          </cell>
          <cell r="F1090">
            <v>80</v>
          </cell>
          <cell r="G1090">
            <v>200</v>
          </cell>
          <cell r="H1090">
            <v>8</v>
          </cell>
          <cell r="K1090">
            <v>696</v>
          </cell>
          <cell r="L1090">
            <v>2669</v>
          </cell>
          <cell r="M1090" t="str">
            <v>99.50.05.320.0</v>
          </cell>
          <cell r="O1090" t="str">
            <v>A36</v>
          </cell>
          <cell r="P1090" t="str">
            <v>N</v>
          </cell>
        </row>
        <row r="1091">
          <cell r="A1091">
            <v>1090</v>
          </cell>
          <cell r="B1091" t="str">
            <v>"C" PERFIL ESTRUCTURAL SOBRANTE</v>
          </cell>
          <cell r="C1091" t="str">
            <v>C 200x100x6</v>
          </cell>
          <cell r="D1091">
            <v>18.260000000000002</v>
          </cell>
          <cell r="E1091">
            <v>18.260000000000002</v>
          </cell>
          <cell r="F1091">
            <v>100</v>
          </cell>
          <cell r="G1091">
            <v>200</v>
          </cell>
          <cell r="H1091">
            <v>6</v>
          </cell>
          <cell r="K1091">
            <v>782</v>
          </cell>
          <cell r="L1091">
            <v>2282</v>
          </cell>
          <cell r="M1091" t="str">
            <v>99.50.05.335.0</v>
          </cell>
          <cell r="O1091" t="str">
            <v>A36</v>
          </cell>
          <cell r="P1091" t="str">
            <v>N</v>
          </cell>
        </row>
        <row r="1092">
          <cell r="A1092">
            <v>1091</v>
          </cell>
          <cell r="B1092" t="str">
            <v>"G" PERFIL ESTRUCTURAL (Correas) SOBRANTE</v>
          </cell>
          <cell r="C1092" t="str">
            <v>G 100x50x15x3</v>
          </cell>
          <cell r="D1092">
            <v>4.95</v>
          </cell>
          <cell r="E1092">
            <v>4.95</v>
          </cell>
          <cell r="F1092">
            <v>50</v>
          </cell>
          <cell r="G1092">
            <v>100</v>
          </cell>
          <cell r="H1092">
            <v>3</v>
          </cell>
          <cell r="J1092">
            <v>15</v>
          </cell>
          <cell r="K1092">
            <v>451</v>
          </cell>
          <cell r="L1092">
            <v>631</v>
          </cell>
          <cell r="M1092" t="str">
            <v>99.50.17.110.0</v>
          </cell>
          <cell r="O1092" t="str">
            <v>A36</v>
          </cell>
          <cell r="P1092" t="str">
            <v>S</v>
          </cell>
        </row>
        <row r="1093">
          <cell r="A1093">
            <v>1092</v>
          </cell>
          <cell r="B1093" t="str">
            <v>"G" PERFIL ESTRUCTURAL (Correas) SOBRANTE</v>
          </cell>
          <cell r="C1093" t="str">
            <v>G 100x50x25x4</v>
          </cell>
          <cell r="D1093">
            <v>6.97</v>
          </cell>
          <cell r="E1093">
            <v>6.97</v>
          </cell>
          <cell r="F1093">
            <v>50</v>
          </cell>
          <cell r="G1093">
            <v>100</v>
          </cell>
          <cell r="H1093">
            <v>4</v>
          </cell>
          <cell r="J1093">
            <v>25</v>
          </cell>
          <cell r="K1093">
            <v>488</v>
          </cell>
          <cell r="M1093" t="str">
            <v>99.50.17.140.0</v>
          </cell>
          <cell r="O1093" t="str">
            <v>A36</v>
          </cell>
          <cell r="P1093" t="str">
            <v>N</v>
          </cell>
        </row>
        <row r="1094">
          <cell r="A1094">
            <v>1093</v>
          </cell>
          <cell r="B1094" t="str">
            <v>"G" PERFIL ESTRUCTURAL (Correas) SOBRANTE</v>
          </cell>
          <cell r="C1094" t="str">
            <v>G 125x50x15x3</v>
          </cell>
          <cell r="D1094">
            <v>5.54</v>
          </cell>
          <cell r="E1094">
            <v>5.54</v>
          </cell>
          <cell r="F1094">
            <v>50</v>
          </cell>
          <cell r="G1094">
            <v>125</v>
          </cell>
          <cell r="H1094">
            <v>3</v>
          </cell>
          <cell r="J1094">
            <v>15</v>
          </cell>
          <cell r="K1094">
            <v>501</v>
          </cell>
          <cell r="L1094">
            <v>706</v>
          </cell>
          <cell r="M1094" t="str">
            <v>99.50.17.170.0</v>
          </cell>
          <cell r="O1094" t="str">
            <v>A36</v>
          </cell>
          <cell r="P1094" t="str">
            <v>S</v>
          </cell>
        </row>
        <row r="1095">
          <cell r="A1095">
            <v>1094</v>
          </cell>
          <cell r="B1095" t="str">
            <v>"G" PERFIL ESTRUCTURAL (Correas) SOBRANTE</v>
          </cell>
          <cell r="C1095" t="str">
            <v xml:space="preserve">G 150x50x15x3 </v>
          </cell>
          <cell r="D1095">
            <v>6.13</v>
          </cell>
          <cell r="E1095">
            <v>6.13</v>
          </cell>
          <cell r="F1095">
            <v>50</v>
          </cell>
          <cell r="G1095">
            <v>150</v>
          </cell>
          <cell r="H1095">
            <v>3</v>
          </cell>
          <cell r="J1095">
            <v>15</v>
          </cell>
          <cell r="K1095">
            <v>551</v>
          </cell>
          <cell r="L1095">
            <v>781</v>
          </cell>
          <cell r="M1095" t="str">
            <v>99.50.17.240.0</v>
          </cell>
          <cell r="O1095" t="str">
            <v>A36</v>
          </cell>
          <cell r="P1095" t="str">
            <v>S</v>
          </cell>
        </row>
        <row r="1096">
          <cell r="A1096">
            <v>1095</v>
          </cell>
          <cell r="B1096" t="str">
            <v>"G" PERFIL ESTRUCTURAL (Correas) SOBRANTE</v>
          </cell>
          <cell r="C1096" t="str">
            <v>G 150x50x25x4</v>
          </cell>
          <cell r="D1096">
            <v>8.6349999999999998</v>
          </cell>
          <cell r="E1096">
            <v>8.6349999999999998</v>
          </cell>
          <cell r="F1096">
            <v>50</v>
          </cell>
          <cell r="G1096">
            <v>150</v>
          </cell>
          <cell r="H1096">
            <v>4</v>
          </cell>
          <cell r="J1096">
            <v>25</v>
          </cell>
          <cell r="K1096">
            <v>588</v>
          </cell>
          <cell r="M1096" t="str">
            <v>99.50.17.270.0</v>
          </cell>
          <cell r="O1096" t="str">
            <v>A36</v>
          </cell>
          <cell r="P1096" t="str">
            <v>S</v>
          </cell>
        </row>
        <row r="1097">
          <cell r="A1097">
            <v>1096</v>
          </cell>
          <cell r="B1097" t="str">
            <v>"G" PERFIL ESTRUCTURAL (Correas) SOBRANTE</v>
          </cell>
          <cell r="C1097" t="str">
            <v>G 200x50x15x3</v>
          </cell>
          <cell r="D1097">
            <v>7.31</v>
          </cell>
          <cell r="E1097">
            <v>7.31</v>
          </cell>
          <cell r="F1097">
            <v>50</v>
          </cell>
          <cell r="G1097">
            <v>200</v>
          </cell>
          <cell r="H1097">
            <v>3</v>
          </cell>
          <cell r="J1097">
            <v>15</v>
          </cell>
          <cell r="K1097">
            <v>651</v>
          </cell>
          <cell r="L1097">
            <v>931</v>
          </cell>
          <cell r="M1097" t="str">
            <v>99.50.17.360.0</v>
          </cell>
          <cell r="O1097" t="str">
            <v>A36</v>
          </cell>
          <cell r="P1097" t="str">
            <v>S</v>
          </cell>
        </row>
        <row r="1098">
          <cell r="A1098">
            <v>1097</v>
          </cell>
          <cell r="B1098" t="str">
            <v>"G" PERFIL ESTRUCTURAL (Correas) SOBRANTE</v>
          </cell>
          <cell r="C1098" t="str">
            <v>G 200x50x25x4</v>
          </cell>
          <cell r="D1098">
            <v>10.11</v>
          </cell>
          <cell r="E1098">
            <v>10.11</v>
          </cell>
          <cell r="F1098">
            <v>50</v>
          </cell>
          <cell r="G1098">
            <v>200</v>
          </cell>
          <cell r="H1098">
            <v>4</v>
          </cell>
          <cell r="J1098">
            <v>25</v>
          </cell>
          <cell r="K1098">
            <v>688</v>
          </cell>
          <cell r="M1098" t="str">
            <v>99.50.17.380.0</v>
          </cell>
          <cell r="O1098" t="str">
            <v>A36</v>
          </cell>
          <cell r="P1098" t="str">
            <v>S</v>
          </cell>
        </row>
        <row r="1099">
          <cell r="A1099">
            <v>1098</v>
          </cell>
          <cell r="B1099" t="str">
            <v>"HEA" ESTRUCTURAL (Laminado) SOBRANTE</v>
          </cell>
          <cell r="C1099" t="str">
            <v xml:space="preserve">HEA 100 </v>
          </cell>
          <cell r="D1099">
            <v>16.7</v>
          </cell>
          <cell r="E1099">
            <v>16.7</v>
          </cell>
          <cell r="F1099">
            <v>100</v>
          </cell>
          <cell r="G1099">
            <v>96</v>
          </cell>
          <cell r="H1099">
            <v>5</v>
          </cell>
          <cell r="I1099">
            <v>8</v>
          </cell>
          <cell r="K1099">
            <v>582</v>
          </cell>
          <cell r="L1099">
            <v>2120</v>
          </cell>
          <cell r="O1099" t="str">
            <v>A36</v>
          </cell>
          <cell r="P1099" t="str">
            <v>S</v>
          </cell>
        </row>
        <row r="1100">
          <cell r="A1100">
            <v>1099</v>
          </cell>
          <cell r="B1100" t="str">
            <v>"HEA" ESTRUCTURAL (Laminado) SOBRANTE</v>
          </cell>
          <cell r="C1100" t="str">
            <v xml:space="preserve">HEA 120 </v>
          </cell>
          <cell r="D1100">
            <v>19.899999999999999</v>
          </cell>
          <cell r="E1100">
            <v>19.899999999999999</v>
          </cell>
          <cell r="F1100">
            <v>120</v>
          </cell>
          <cell r="G1100">
            <v>114</v>
          </cell>
          <cell r="H1100">
            <v>5</v>
          </cell>
          <cell r="I1100">
            <v>8</v>
          </cell>
          <cell r="K1100">
            <v>698</v>
          </cell>
          <cell r="L1100">
            <v>2530</v>
          </cell>
          <cell r="O1100" t="str">
            <v>A36</v>
          </cell>
          <cell r="P1100" t="str">
            <v>S</v>
          </cell>
        </row>
        <row r="1101">
          <cell r="A1101">
            <v>1100</v>
          </cell>
          <cell r="B1101" t="str">
            <v>"HEA" ESTRUCTURAL (Laminado) SOBRANTE</v>
          </cell>
          <cell r="C1101" t="str">
            <v xml:space="preserve">HEA 140 </v>
          </cell>
          <cell r="D1101">
            <v>24.7</v>
          </cell>
          <cell r="E1101">
            <v>24.7</v>
          </cell>
          <cell r="F1101">
            <v>140</v>
          </cell>
          <cell r="G1101">
            <v>133</v>
          </cell>
          <cell r="H1101">
            <v>5.5</v>
          </cell>
          <cell r="I1101">
            <v>8.5</v>
          </cell>
          <cell r="K1101">
            <v>815</v>
          </cell>
          <cell r="L1101">
            <v>3140</v>
          </cell>
          <cell r="M1101" t="str">
            <v>99.49.16.030.0</v>
          </cell>
          <cell r="O1101" t="str">
            <v>A36</v>
          </cell>
          <cell r="P1101" t="str">
            <v>S</v>
          </cell>
        </row>
        <row r="1102">
          <cell r="A1102">
            <v>1101</v>
          </cell>
          <cell r="B1102" t="str">
            <v>"HEA" ESTRUCTURAL (Laminado) SOBRANTE</v>
          </cell>
          <cell r="C1102" t="str">
            <v>HEA 160</v>
          </cell>
          <cell r="D1102">
            <v>30.4</v>
          </cell>
          <cell r="E1102">
            <v>30.4</v>
          </cell>
          <cell r="F1102">
            <v>160</v>
          </cell>
          <cell r="G1102">
            <v>152</v>
          </cell>
          <cell r="H1102">
            <v>6</v>
          </cell>
          <cell r="I1102">
            <v>9</v>
          </cell>
          <cell r="K1102">
            <v>932</v>
          </cell>
          <cell r="L1102">
            <v>3879.9999999999995</v>
          </cell>
          <cell r="M1102" t="str">
            <v>99.49.16.040.0</v>
          </cell>
          <cell r="O1102" t="str">
            <v>A36</v>
          </cell>
          <cell r="P1102" t="str">
            <v>S</v>
          </cell>
        </row>
        <row r="1103">
          <cell r="A1103">
            <v>1102</v>
          </cell>
          <cell r="B1103" t="str">
            <v>"HEA" ESTRUCTURAL (Laminado) SOBRANTE</v>
          </cell>
          <cell r="C1103" t="str">
            <v>HEA 180</v>
          </cell>
          <cell r="D1103">
            <v>35.5</v>
          </cell>
          <cell r="E1103">
            <v>35.5</v>
          </cell>
          <cell r="F1103">
            <v>180</v>
          </cell>
          <cell r="G1103">
            <v>171</v>
          </cell>
          <cell r="H1103">
            <v>6</v>
          </cell>
          <cell r="I1103">
            <v>9.5</v>
          </cell>
          <cell r="K1103">
            <v>1050</v>
          </cell>
          <cell r="L1103">
            <v>4530</v>
          </cell>
          <cell r="M1103" t="str">
            <v>99.49.16.050.0</v>
          </cell>
          <cell r="O1103" t="str">
            <v>A36</v>
          </cell>
          <cell r="P1103" t="str">
            <v>S</v>
          </cell>
        </row>
        <row r="1104">
          <cell r="A1104">
            <v>1103</v>
          </cell>
          <cell r="B1104" t="str">
            <v>"HEA" ESTRUCTURAL (Laminado) SOBRANTE</v>
          </cell>
          <cell r="C1104" t="str">
            <v>HEA 200</v>
          </cell>
          <cell r="D1104">
            <v>42.3</v>
          </cell>
          <cell r="E1104">
            <v>42.3</v>
          </cell>
          <cell r="F1104">
            <v>200</v>
          </cell>
          <cell r="G1104">
            <v>190</v>
          </cell>
          <cell r="H1104">
            <v>6.5</v>
          </cell>
          <cell r="I1104">
            <v>10</v>
          </cell>
          <cell r="K1104">
            <v>1167</v>
          </cell>
          <cell r="L1104">
            <v>5380</v>
          </cell>
          <cell r="M1104" t="str">
            <v>99.49.16.060.0</v>
          </cell>
          <cell r="O1104" t="str">
            <v>A36</v>
          </cell>
          <cell r="P1104" t="str">
            <v>S</v>
          </cell>
        </row>
        <row r="1105">
          <cell r="A1105">
            <v>1104</v>
          </cell>
          <cell r="B1105" t="str">
            <v>"HEA" ESTRUCTURAL (Laminado) SOBRANTE</v>
          </cell>
          <cell r="C1105" t="str">
            <v>HEA 220</v>
          </cell>
          <cell r="D1105">
            <v>50.5</v>
          </cell>
          <cell r="E1105">
            <v>50.5</v>
          </cell>
          <cell r="F1105">
            <v>220</v>
          </cell>
          <cell r="G1105">
            <v>210</v>
          </cell>
          <cell r="H1105">
            <v>7</v>
          </cell>
          <cell r="I1105">
            <v>11</v>
          </cell>
          <cell r="K1105">
            <v>1286</v>
          </cell>
          <cell r="L1105">
            <v>6430</v>
          </cell>
          <cell r="M1105" t="str">
            <v>99.49.16.070.0</v>
          </cell>
          <cell r="O1105" t="str">
            <v>A36</v>
          </cell>
          <cell r="P1105" t="str">
            <v>N</v>
          </cell>
        </row>
        <row r="1106">
          <cell r="A1106">
            <v>1105</v>
          </cell>
          <cell r="B1106" t="str">
            <v>"HEA" ESTRUCTURAL (Laminado) SOBRANTE</v>
          </cell>
          <cell r="C1106" t="str">
            <v>HEA 240</v>
          </cell>
          <cell r="D1106">
            <v>60.3</v>
          </cell>
          <cell r="E1106">
            <v>60.3</v>
          </cell>
          <cell r="F1106">
            <v>240</v>
          </cell>
          <cell r="G1106">
            <v>230</v>
          </cell>
          <cell r="H1106">
            <v>7.5</v>
          </cell>
          <cell r="I1106">
            <v>12</v>
          </cell>
          <cell r="K1106">
            <v>1405</v>
          </cell>
          <cell r="L1106">
            <v>7680</v>
          </cell>
          <cell r="M1106" t="str">
            <v>99.49.16.080.0</v>
          </cell>
          <cell r="O1106" t="str">
            <v>A36</v>
          </cell>
          <cell r="P1106" t="str">
            <v>N</v>
          </cell>
        </row>
        <row r="1107">
          <cell r="A1107">
            <v>1106</v>
          </cell>
          <cell r="B1107" t="str">
            <v>"HEA" ESTRUCTURAL (Laminado) SOBRANTE</v>
          </cell>
          <cell r="C1107" t="str">
            <v>HEA 260</v>
          </cell>
          <cell r="D1107">
            <v>68.2</v>
          </cell>
          <cell r="E1107">
            <v>68.2</v>
          </cell>
          <cell r="F1107">
            <v>260</v>
          </cell>
          <cell r="G1107">
            <v>250</v>
          </cell>
          <cell r="H1107">
            <v>7.5</v>
          </cell>
          <cell r="I1107">
            <v>12.5</v>
          </cell>
          <cell r="K1107">
            <v>1525</v>
          </cell>
          <cell r="L1107">
            <v>8660</v>
          </cell>
          <cell r="M1107" t="str">
            <v>99.49.16.090.01</v>
          </cell>
          <cell r="O1107" t="str">
            <v>A36</v>
          </cell>
          <cell r="P1107" t="str">
            <v>N</v>
          </cell>
        </row>
        <row r="1108">
          <cell r="A1108">
            <v>1107</v>
          </cell>
          <cell r="B1108" t="str">
            <v>"HEA" ESTRUCTURAL (Laminado) SOBRANTE</v>
          </cell>
          <cell r="C1108" t="str">
            <v>HEA 280</v>
          </cell>
          <cell r="D1108">
            <v>76.400000000000006</v>
          </cell>
          <cell r="E1108">
            <v>76.400000000000006</v>
          </cell>
          <cell r="F1108">
            <v>280</v>
          </cell>
          <cell r="G1108">
            <v>270</v>
          </cell>
          <cell r="H1108">
            <v>8</v>
          </cell>
          <cell r="I1108">
            <v>13</v>
          </cell>
          <cell r="K1108">
            <v>1644</v>
          </cell>
          <cell r="L1108">
            <v>9730</v>
          </cell>
          <cell r="M1108" t="str">
            <v>99.49.16.100.0</v>
          </cell>
          <cell r="O1108" t="str">
            <v>A36</v>
          </cell>
          <cell r="P1108" t="str">
            <v>N</v>
          </cell>
        </row>
        <row r="1109">
          <cell r="A1109">
            <v>1108</v>
          </cell>
          <cell r="B1109" t="str">
            <v>"HEA" ESTRUCTURAL (Laminado) SOBRANTE</v>
          </cell>
          <cell r="C1109" t="str">
            <v>HEA 300</v>
          </cell>
          <cell r="D1109">
            <v>88.3</v>
          </cell>
          <cell r="E1109">
            <v>88.3</v>
          </cell>
          <cell r="F1109">
            <v>280</v>
          </cell>
          <cell r="G1109">
            <v>270</v>
          </cell>
          <cell r="H1109">
            <v>8</v>
          </cell>
          <cell r="I1109">
            <v>13</v>
          </cell>
          <cell r="K1109">
            <v>1644</v>
          </cell>
          <cell r="L1109">
            <v>9730</v>
          </cell>
          <cell r="M1109" t="str">
            <v>99.49.16.110.0</v>
          </cell>
          <cell r="O1109" t="str">
            <v>A36</v>
          </cell>
          <cell r="P1109" t="str">
            <v>N</v>
          </cell>
        </row>
        <row r="1110">
          <cell r="A1110">
            <v>1109</v>
          </cell>
          <cell r="B1110" t="str">
            <v>"HEB" ESTRUCTURAL (Laminado) SOBRANTE</v>
          </cell>
          <cell r="C1110" t="str">
            <v>HEB 100</v>
          </cell>
          <cell r="D1110">
            <v>20.400000000000002</v>
          </cell>
          <cell r="E1110">
            <v>20.400000000000002</v>
          </cell>
          <cell r="F1110">
            <v>100</v>
          </cell>
          <cell r="G1110">
            <v>100</v>
          </cell>
          <cell r="H1110">
            <v>6</v>
          </cell>
          <cell r="I1110">
            <v>10</v>
          </cell>
          <cell r="K1110">
            <v>588</v>
          </cell>
          <cell r="L1110">
            <v>2600</v>
          </cell>
          <cell r="M1110" t="str">
            <v>99.49.32.010.0</v>
          </cell>
          <cell r="O1110" t="str">
            <v>A36</v>
          </cell>
          <cell r="P1110" t="str">
            <v>S</v>
          </cell>
        </row>
        <row r="1111">
          <cell r="A1111">
            <v>1110</v>
          </cell>
          <cell r="B1111" t="str">
            <v>"HEB" ESTRUCTURAL (Laminado) SOBRANTE</v>
          </cell>
          <cell r="C1111" t="str">
            <v>HEB 120</v>
          </cell>
          <cell r="D1111">
            <v>26.7</v>
          </cell>
          <cell r="E1111">
            <v>26.7</v>
          </cell>
          <cell r="F1111">
            <v>120</v>
          </cell>
          <cell r="G1111">
            <v>120</v>
          </cell>
          <cell r="H1111">
            <v>6.5</v>
          </cell>
          <cell r="I1111">
            <v>11</v>
          </cell>
          <cell r="K1111">
            <v>707</v>
          </cell>
          <cell r="L1111">
            <v>3400</v>
          </cell>
          <cell r="M1111" t="str">
            <v>99.49.32.020.0</v>
          </cell>
          <cell r="O1111" t="str">
            <v>A36</v>
          </cell>
          <cell r="P1111" t="str">
            <v>S</v>
          </cell>
        </row>
        <row r="1112">
          <cell r="A1112">
            <v>1111</v>
          </cell>
          <cell r="B1112" t="str">
            <v>"HEB" ESTRUCTURAL (Laminado) SOBRANTE</v>
          </cell>
          <cell r="C1112" t="str">
            <v>HEB 140</v>
          </cell>
          <cell r="D1112">
            <v>33.700000000000003</v>
          </cell>
          <cell r="E1112">
            <v>33.700000000000003</v>
          </cell>
          <cell r="F1112">
            <v>140</v>
          </cell>
          <cell r="G1112">
            <v>140</v>
          </cell>
          <cell r="H1112">
            <v>7</v>
          </cell>
          <cell r="I1112">
            <v>12</v>
          </cell>
          <cell r="K1112">
            <v>826</v>
          </cell>
          <cell r="L1112">
            <v>4300</v>
          </cell>
          <cell r="M1112" t="str">
            <v>99.49.32.030.0</v>
          </cell>
          <cell r="O1112" t="str">
            <v>A36</v>
          </cell>
          <cell r="P1112" t="str">
            <v>S</v>
          </cell>
        </row>
        <row r="1113">
          <cell r="A1113">
            <v>1112</v>
          </cell>
          <cell r="B1113" t="str">
            <v>"HEB" ESTRUCTURAL (Laminado) SOBRANTE</v>
          </cell>
          <cell r="C1113" t="str">
            <v>HEB 160</v>
          </cell>
          <cell r="D1113">
            <v>42.6</v>
          </cell>
          <cell r="E1113">
            <v>42.6</v>
          </cell>
          <cell r="F1113">
            <v>160</v>
          </cell>
          <cell r="G1113">
            <v>160</v>
          </cell>
          <cell r="H1113">
            <v>8</v>
          </cell>
          <cell r="I1113">
            <v>13</v>
          </cell>
          <cell r="K1113">
            <v>944</v>
          </cell>
          <cell r="L1113">
            <v>5430</v>
          </cell>
          <cell r="M1113" t="str">
            <v>99.49.32.040.0</v>
          </cell>
          <cell r="O1113" t="str">
            <v>A36</v>
          </cell>
          <cell r="P1113" t="str">
            <v>S</v>
          </cell>
        </row>
        <row r="1114">
          <cell r="A1114">
            <v>1113</v>
          </cell>
          <cell r="B1114" t="str">
            <v>"HEB" ESTRUCTURAL (Laminado) SOBRANTE</v>
          </cell>
          <cell r="C1114" t="str">
            <v>HEB 180</v>
          </cell>
          <cell r="D1114">
            <v>51.2</v>
          </cell>
          <cell r="E1114">
            <v>51.2</v>
          </cell>
          <cell r="F1114">
            <v>180</v>
          </cell>
          <cell r="G1114">
            <v>180</v>
          </cell>
          <cell r="H1114">
            <v>8.5</v>
          </cell>
          <cell r="I1114">
            <v>14</v>
          </cell>
          <cell r="K1114">
            <v>1063</v>
          </cell>
          <cell r="L1114">
            <v>6530</v>
          </cell>
          <cell r="M1114" t="str">
            <v>99.49.32.050.0</v>
          </cell>
          <cell r="O1114" t="str">
            <v>A36</v>
          </cell>
          <cell r="P1114" t="str">
            <v>S</v>
          </cell>
        </row>
        <row r="1115">
          <cell r="A1115">
            <v>1114</v>
          </cell>
          <cell r="B1115" t="str">
            <v>"HEB" ESTRUCTURAL (Laminado) SOBRANTE</v>
          </cell>
          <cell r="C1115" t="str">
            <v>HEB 200</v>
          </cell>
          <cell r="D1115">
            <v>61.3</v>
          </cell>
          <cell r="E1115">
            <v>61.3</v>
          </cell>
          <cell r="F1115">
            <v>200</v>
          </cell>
          <cell r="G1115">
            <v>200</v>
          </cell>
          <cell r="H1115">
            <v>9</v>
          </cell>
          <cell r="I1115">
            <v>15</v>
          </cell>
          <cell r="K1115">
            <v>1182</v>
          </cell>
          <cell r="L1115">
            <v>7809.9999999999991</v>
          </cell>
          <cell r="M1115" t="str">
            <v>99.49.32.060.0</v>
          </cell>
          <cell r="O1115" t="str">
            <v>A36</v>
          </cell>
          <cell r="P1115" t="str">
            <v>S</v>
          </cell>
        </row>
        <row r="1116">
          <cell r="A1116">
            <v>1115</v>
          </cell>
          <cell r="B1116" t="str">
            <v>"HEB" ESTRUCTURAL (Laminado) SOBRANTE</v>
          </cell>
          <cell r="C1116" t="str">
            <v>HEB 220</v>
          </cell>
          <cell r="D1116">
            <v>71.5</v>
          </cell>
          <cell r="E1116">
            <v>71.5</v>
          </cell>
          <cell r="F1116">
            <v>220</v>
          </cell>
          <cell r="G1116">
            <v>220</v>
          </cell>
          <cell r="H1116">
            <v>9.5</v>
          </cell>
          <cell r="I1116">
            <v>16</v>
          </cell>
          <cell r="K1116">
            <v>1301</v>
          </cell>
          <cell r="L1116">
            <v>9100</v>
          </cell>
          <cell r="M1116" t="str">
            <v>99.49.32.070.0</v>
          </cell>
          <cell r="O1116" t="str">
            <v>A36</v>
          </cell>
          <cell r="P1116" t="str">
            <v>S</v>
          </cell>
        </row>
        <row r="1117">
          <cell r="A1117">
            <v>1116</v>
          </cell>
          <cell r="B1117" t="str">
            <v>"HEB" ESTRUCTURAL (Laminado) SOBRANTE</v>
          </cell>
          <cell r="C1117" t="str">
            <v>HEB 240</v>
          </cell>
          <cell r="D1117">
            <v>83.2</v>
          </cell>
          <cell r="E1117">
            <v>83.2</v>
          </cell>
          <cell r="F1117">
            <v>240</v>
          </cell>
          <cell r="G1117">
            <v>240</v>
          </cell>
          <cell r="H1117">
            <v>10</v>
          </cell>
          <cell r="I1117">
            <v>17</v>
          </cell>
          <cell r="K1117">
            <v>1420</v>
          </cell>
          <cell r="L1117">
            <v>16000</v>
          </cell>
          <cell r="M1117" t="str">
            <v>99.49.32.080.0</v>
          </cell>
          <cell r="O1117" t="str">
            <v>A36</v>
          </cell>
          <cell r="P1117" t="str">
            <v>S</v>
          </cell>
        </row>
        <row r="1118">
          <cell r="A1118">
            <v>1117</v>
          </cell>
          <cell r="B1118" t="str">
            <v>"HEB" ESTRUCTURAL (Laminado) SOBRANTE</v>
          </cell>
          <cell r="C1118" t="str">
            <v>HEB 260</v>
          </cell>
          <cell r="D1118">
            <v>93</v>
          </cell>
          <cell r="E1118">
            <v>93</v>
          </cell>
          <cell r="F1118">
            <v>260</v>
          </cell>
          <cell r="G1118">
            <v>260</v>
          </cell>
          <cell r="H1118">
            <v>10</v>
          </cell>
          <cell r="I1118">
            <v>17.5</v>
          </cell>
          <cell r="K1118">
            <v>1540</v>
          </cell>
          <cell r="L1118">
            <v>11800</v>
          </cell>
          <cell r="M1118" t="str">
            <v>99.49.32.090.0</v>
          </cell>
          <cell r="O1118" t="str">
            <v>A36</v>
          </cell>
          <cell r="P1118" t="str">
            <v>S</v>
          </cell>
        </row>
        <row r="1119">
          <cell r="A1119">
            <v>1118</v>
          </cell>
          <cell r="B1119" t="str">
            <v>"HEB" ESTRUCTURAL (Laminado) SOBRANTE</v>
          </cell>
          <cell r="C1119" t="str">
            <v>HEB 280</v>
          </cell>
          <cell r="D1119">
            <v>103</v>
          </cell>
          <cell r="E1119">
            <v>103</v>
          </cell>
          <cell r="F1119">
            <v>280</v>
          </cell>
          <cell r="G1119">
            <v>280</v>
          </cell>
          <cell r="H1119">
            <v>10.5</v>
          </cell>
          <cell r="I1119">
            <v>18</v>
          </cell>
          <cell r="K1119">
            <v>1659</v>
          </cell>
          <cell r="L1119">
            <v>13100</v>
          </cell>
          <cell r="M1119" t="str">
            <v>99.49.32.100.0</v>
          </cell>
          <cell r="O1119" t="str">
            <v>A36</v>
          </cell>
          <cell r="P1119" t="str">
            <v>S</v>
          </cell>
        </row>
        <row r="1120">
          <cell r="A1120">
            <v>1119</v>
          </cell>
          <cell r="B1120" t="str">
            <v>"HEB" ESTRUCTURAL (Laminado) SOBRANTE</v>
          </cell>
          <cell r="C1120" t="str">
            <v>HEB 300</v>
          </cell>
          <cell r="D1120">
            <v>117</v>
          </cell>
          <cell r="E1120">
            <v>117</v>
          </cell>
          <cell r="F1120">
            <v>300</v>
          </cell>
          <cell r="G1120">
            <v>300</v>
          </cell>
          <cell r="H1120">
            <v>11</v>
          </cell>
          <cell r="I1120">
            <v>19</v>
          </cell>
          <cell r="K1120">
            <v>1778</v>
          </cell>
          <cell r="L1120">
            <v>14900</v>
          </cell>
          <cell r="M1120" t="str">
            <v>99.49.32.110.0</v>
          </cell>
          <cell r="O1120" t="str">
            <v>A36</v>
          </cell>
          <cell r="P1120" t="str">
            <v>S</v>
          </cell>
        </row>
        <row r="1121">
          <cell r="A1121">
            <v>1120</v>
          </cell>
          <cell r="B1121" t="str">
            <v>"IPE" ESTRUCTURAL (Laminado) SOBRANTE</v>
          </cell>
          <cell r="C1121" t="str">
            <v>IPE 80</v>
          </cell>
          <cell r="D1121">
            <v>6</v>
          </cell>
          <cell r="E1121">
            <v>6</v>
          </cell>
          <cell r="F1121">
            <v>46</v>
          </cell>
          <cell r="G1121">
            <v>80</v>
          </cell>
          <cell r="H1121">
            <v>3.8</v>
          </cell>
          <cell r="I1121">
            <v>5.2</v>
          </cell>
          <cell r="K1121">
            <v>336.40000000000003</v>
          </cell>
          <cell r="L1121">
            <v>764</v>
          </cell>
          <cell r="M1121" t="str">
            <v>99.49.48.010.0</v>
          </cell>
          <cell r="O1121" t="str">
            <v>A36</v>
          </cell>
          <cell r="P1121" t="str">
            <v>S</v>
          </cell>
        </row>
        <row r="1122">
          <cell r="A1122">
            <v>1121</v>
          </cell>
          <cell r="B1122" t="str">
            <v>"IPE" ESTRUCTURAL (Laminado) SOBRANTE</v>
          </cell>
          <cell r="C1122" t="str">
            <v>IPE 100</v>
          </cell>
          <cell r="D1122">
            <v>8.1</v>
          </cell>
          <cell r="E1122">
            <v>8.1</v>
          </cell>
          <cell r="F1122">
            <v>55</v>
          </cell>
          <cell r="G1122">
            <v>100</v>
          </cell>
          <cell r="H1122">
            <v>4.0999999999999996</v>
          </cell>
          <cell r="I1122">
            <v>5.7</v>
          </cell>
          <cell r="K1122">
            <v>411.8</v>
          </cell>
          <cell r="L1122">
            <v>1030</v>
          </cell>
          <cell r="M1122" t="str">
            <v>99.49.48.020.0</v>
          </cell>
          <cell r="O1122" t="str">
            <v>A36</v>
          </cell>
          <cell r="P1122" t="str">
            <v>S</v>
          </cell>
        </row>
        <row r="1123">
          <cell r="A1123">
            <v>1122</v>
          </cell>
          <cell r="B1123" t="str">
            <v>"IPE" ESTRUCTURAL (Laminado) SOBRANTE</v>
          </cell>
          <cell r="C1123" t="str">
            <v>IPE 120</v>
          </cell>
          <cell r="D1123">
            <v>10.4</v>
          </cell>
          <cell r="E1123">
            <v>10.4</v>
          </cell>
          <cell r="F1123">
            <v>64</v>
          </cell>
          <cell r="G1123">
            <v>120</v>
          </cell>
          <cell r="H1123">
            <v>4.4000000000000004</v>
          </cell>
          <cell r="I1123">
            <v>6.3</v>
          </cell>
          <cell r="K1123">
            <v>487.2</v>
          </cell>
          <cell r="L1123">
            <v>1320</v>
          </cell>
          <cell r="M1123" t="str">
            <v>99.49.48.030.0</v>
          </cell>
          <cell r="O1123" t="str">
            <v>A36</v>
          </cell>
          <cell r="P1123" t="str">
            <v>S</v>
          </cell>
        </row>
        <row r="1124">
          <cell r="A1124">
            <v>1123</v>
          </cell>
          <cell r="B1124" t="str">
            <v>"IPE" ESTRUCTURAL (Laminado) SOBRANTE</v>
          </cell>
          <cell r="C1124" t="str">
            <v>IPE 140</v>
          </cell>
          <cell r="D1124">
            <v>12.9</v>
          </cell>
          <cell r="E1124">
            <v>12.9</v>
          </cell>
          <cell r="F1124">
            <v>73</v>
          </cell>
          <cell r="G1124">
            <v>140</v>
          </cell>
          <cell r="H1124">
            <v>4.7</v>
          </cell>
          <cell r="I1124">
            <v>6.9</v>
          </cell>
          <cell r="K1124">
            <v>562.6</v>
          </cell>
          <cell r="L1124">
            <v>1639.9999999999998</v>
          </cell>
          <cell r="M1124" t="str">
            <v>99.49.48.040.0</v>
          </cell>
          <cell r="O1124" t="str">
            <v>A36</v>
          </cell>
          <cell r="P1124" t="str">
            <v>S</v>
          </cell>
        </row>
        <row r="1125">
          <cell r="A1125">
            <v>1124</v>
          </cell>
          <cell r="B1125" t="str">
            <v>"IPE" ESTRUCTURAL (Laminado) SOBRANTE</v>
          </cell>
          <cell r="C1125" t="str">
            <v>IPE 160</v>
          </cell>
          <cell r="D1125">
            <v>15.8</v>
          </cell>
          <cell r="E1125">
            <v>15.8</v>
          </cell>
          <cell r="F1125">
            <v>82</v>
          </cell>
          <cell r="G1125">
            <v>160</v>
          </cell>
          <cell r="H1125">
            <v>5</v>
          </cell>
          <cell r="I1125">
            <v>7.4</v>
          </cell>
          <cell r="K1125">
            <v>638</v>
          </cell>
          <cell r="L1125">
            <v>2010.0000000000002</v>
          </cell>
          <cell r="M1125" t="str">
            <v>99.49.48.050.0</v>
          </cell>
          <cell r="O1125" t="str">
            <v>A36</v>
          </cell>
          <cell r="P1125" t="str">
            <v>S</v>
          </cell>
        </row>
        <row r="1126">
          <cell r="A1126">
            <v>1125</v>
          </cell>
          <cell r="B1126" t="str">
            <v>"IPE" ESTRUCTURAL (Laminado) SOBRANTE</v>
          </cell>
          <cell r="C1126" t="str">
            <v>IPE 180</v>
          </cell>
          <cell r="D1126">
            <v>18.8</v>
          </cell>
          <cell r="E1126">
            <v>18.8</v>
          </cell>
          <cell r="F1126">
            <v>91</v>
          </cell>
          <cell r="G1126">
            <v>180</v>
          </cell>
          <cell r="H1126">
            <v>5.3</v>
          </cell>
          <cell r="I1126">
            <v>8</v>
          </cell>
          <cell r="K1126">
            <v>713.4</v>
          </cell>
          <cell r="L1126">
            <v>2390</v>
          </cell>
          <cell r="M1126" t="str">
            <v>99.49.48.060.0</v>
          </cell>
          <cell r="O1126" t="str">
            <v>A36</v>
          </cell>
          <cell r="P1126" t="str">
            <v>S</v>
          </cell>
        </row>
        <row r="1127">
          <cell r="A1127">
            <v>1126</v>
          </cell>
          <cell r="B1127" t="str">
            <v>"IPE" ESTRUCTURAL (Laminado) SOBRANTE</v>
          </cell>
          <cell r="C1127" t="str">
            <v>IPE 200</v>
          </cell>
          <cell r="D1127">
            <v>22.4</v>
          </cell>
          <cell r="E1127">
            <v>22.4</v>
          </cell>
          <cell r="F1127">
            <v>100</v>
          </cell>
          <cell r="G1127">
            <v>200</v>
          </cell>
          <cell r="H1127">
            <v>5.6</v>
          </cell>
          <cell r="I1127">
            <v>8.5</v>
          </cell>
          <cell r="K1127">
            <v>788.8</v>
          </cell>
          <cell r="L1127">
            <v>2850</v>
          </cell>
          <cell r="M1127" t="str">
            <v>99.49.48.070.0</v>
          </cell>
          <cell r="O1127" t="str">
            <v>A36</v>
          </cell>
          <cell r="P1127" t="str">
            <v>S</v>
          </cell>
        </row>
        <row r="1128">
          <cell r="A1128">
            <v>1127</v>
          </cell>
          <cell r="B1128" t="str">
            <v>"IPE" ESTRUCTURAL (Laminado) SOBRANTE</v>
          </cell>
          <cell r="C1128" t="str">
            <v>IPE 220</v>
          </cell>
          <cell r="D1128">
            <v>26.2</v>
          </cell>
          <cell r="E1128">
            <v>26.2</v>
          </cell>
          <cell r="F1128">
            <v>110</v>
          </cell>
          <cell r="G1128">
            <v>220</v>
          </cell>
          <cell r="H1128">
            <v>5.9</v>
          </cell>
          <cell r="I1128">
            <v>9.1999999999999993</v>
          </cell>
          <cell r="K1128">
            <v>868.2</v>
          </cell>
          <cell r="L1128">
            <v>3340</v>
          </cell>
          <cell r="M1128" t="str">
            <v>99.49.48.080.0</v>
          </cell>
          <cell r="O1128" t="str">
            <v>A36</v>
          </cell>
          <cell r="P1128" t="str">
            <v>N</v>
          </cell>
        </row>
        <row r="1129">
          <cell r="A1129">
            <v>1128</v>
          </cell>
          <cell r="B1129" t="str">
            <v>"IPE" ESTRUCTURAL (Laminado) SOBRANTE</v>
          </cell>
          <cell r="C1129" t="str">
            <v>IPE 240</v>
          </cell>
          <cell r="D1129">
            <v>30.7</v>
          </cell>
          <cell r="E1129">
            <v>30.7</v>
          </cell>
          <cell r="F1129">
            <v>120</v>
          </cell>
          <cell r="G1129">
            <v>240</v>
          </cell>
          <cell r="H1129">
            <v>6.2</v>
          </cell>
          <cell r="I1129">
            <v>9.8000000000000007</v>
          </cell>
          <cell r="K1129">
            <v>947.6</v>
          </cell>
          <cell r="L1129">
            <v>3910</v>
          </cell>
          <cell r="M1129" t="str">
            <v>99.49.48.090.0</v>
          </cell>
          <cell r="O1129" t="str">
            <v>A36</v>
          </cell>
          <cell r="P1129" t="str">
            <v>N</v>
          </cell>
        </row>
        <row r="1130">
          <cell r="A1130">
            <v>1129</v>
          </cell>
          <cell r="B1130" t="str">
            <v>"IPE" ESTRUCTURAL (Laminado) SOBRANTE</v>
          </cell>
          <cell r="C1130" t="str">
            <v>IPE 270</v>
          </cell>
          <cell r="D1130">
            <v>36.1</v>
          </cell>
          <cell r="E1130">
            <v>36.1</v>
          </cell>
          <cell r="F1130">
            <v>135</v>
          </cell>
          <cell r="G1130">
            <v>270</v>
          </cell>
          <cell r="H1130">
            <v>6.6</v>
          </cell>
          <cell r="I1130">
            <v>10.199999999999999</v>
          </cell>
          <cell r="K1130">
            <v>1066.8</v>
          </cell>
          <cell r="L1130">
            <v>4590</v>
          </cell>
          <cell r="M1130" t="str">
            <v>99.49.48.100.0</v>
          </cell>
          <cell r="O1130" t="str">
            <v>A36</v>
          </cell>
          <cell r="P1130" t="str">
            <v>N</v>
          </cell>
        </row>
        <row r="1131">
          <cell r="A1131">
            <v>1130</v>
          </cell>
          <cell r="B1131" t="str">
            <v>"IPE" ESTRUCTURAL (Laminado) SOBRANTE</v>
          </cell>
          <cell r="C1131" t="str">
            <v>IPE 300</v>
          </cell>
          <cell r="D1131">
            <v>42.2</v>
          </cell>
          <cell r="E1131">
            <v>42.2</v>
          </cell>
          <cell r="F1131">
            <v>150</v>
          </cell>
          <cell r="G1131">
            <v>300</v>
          </cell>
          <cell r="H1131">
            <v>7.1</v>
          </cell>
          <cell r="I1131">
            <v>10.7</v>
          </cell>
          <cell r="K1131">
            <v>1185.8</v>
          </cell>
          <cell r="L1131">
            <v>5380</v>
          </cell>
          <cell r="M1131" t="str">
            <v>99.49.48.110.0</v>
          </cell>
          <cell r="O1131" t="str">
            <v>A36</v>
          </cell>
          <cell r="P1131" t="str">
            <v>N</v>
          </cell>
        </row>
        <row r="1132">
          <cell r="A1132">
            <v>1131</v>
          </cell>
          <cell r="B1132" t="str">
            <v>"IPE" ESTRUCTURAL (Laminado) SOBRANTE</v>
          </cell>
          <cell r="C1132" t="str">
            <v>IPE 330</v>
          </cell>
          <cell r="D1132">
            <v>49.1</v>
          </cell>
          <cell r="E1132">
            <v>49.1</v>
          </cell>
          <cell r="F1132">
            <v>160</v>
          </cell>
          <cell r="G1132">
            <v>330</v>
          </cell>
          <cell r="H1132">
            <v>7.5</v>
          </cell>
          <cell r="I1132">
            <v>11.5</v>
          </cell>
          <cell r="K1132">
            <v>1285</v>
          </cell>
          <cell r="L1132">
            <v>6260</v>
          </cell>
          <cell r="M1132" t="str">
            <v>99.49.49.120.0</v>
          </cell>
          <cell r="O1132" t="str">
            <v>A36</v>
          </cell>
          <cell r="P1132" t="str">
            <v>N</v>
          </cell>
        </row>
        <row r="1133">
          <cell r="A1133">
            <v>1132</v>
          </cell>
          <cell r="B1133" t="str">
            <v>"IPE" ESTRUCTURAL (Laminado) SOBRANTE</v>
          </cell>
          <cell r="C1133" t="str">
            <v>IPE 360</v>
          </cell>
          <cell r="D1133">
            <v>57.1</v>
          </cell>
          <cell r="E1133">
            <v>57.1</v>
          </cell>
          <cell r="F1133">
            <v>170</v>
          </cell>
          <cell r="G1133">
            <v>360</v>
          </cell>
          <cell r="H1133">
            <v>8</v>
          </cell>
          <cell r="I1133">
            <v>12.7</v>
          </cell>
          <cell r="K1133">
            <v>1384</v>
          </cell>
          <cell r="L1133">
            <v>7270</v>
          </cell>
          <cell r="M1133" t="str">
            <v>99.49.48.130.0</v>
          </cell>
          <cell r="O1133" t="str">
            <v>A36</v>
          </cell>
          <cell r="P1133" t="str">
            <v>N</v>
          </cell>
        </row>
        <row r="1134">
          <cell r="A1134">
            <v>1133</v>
          </cell>
          <cell r="B1134" t="str">
            <v>"IPE" ESTRUCTURAL (Laminado) SOBRANTE</v>
          </cell>
          <cell r="C1134" t="str">
            <v>IPE 400</v>
          </cell>
          <cell r="D1134">
            <v>66.3</v>
          </cell>
          <cell r="E1134">
            <v>66.3</v>
          </cell>
          <cell r="F1134">
            <v>180</v>
          </cell>
          <cell r="G1134">
            <v>400</v>
          </cell>
          <cell r="H1134">
            <v>8.6</v>
          </cell>
          <cell r="I1134">
            <v>13.5</v>
          </cell>
          <cell r="K1134">
            <v>1502.8</v>
          </cell>
          <cell r="L1134">
            <v>8450</v>
          </cell>
          <cell r="M1134" t="str">
            <v>99.49.48.140.0</v>
          </cell>
          <cell r="O1134" t="str">
            <v>A36</v>
          </cell>
          <cell r="P1134" t="str">
            <v>N</v>
          </cell>
        </row>
        <row r="1135">
          <cell r="A1135">
            <v>1134</v>
          </cell>
          <cell r="B1135" t="str">
            <v>"IPE" ESTRUCTURAL (Laminado) SOBRANTE</v>
          </cell>
          <cell r="C1135" t="str">
            <v>IPE 450</v>
          </cell>
          <cell r="D1135">
            <v>77.599999999999994</v>
          </cell>
          <cell r="E1135">
            <v>77.599999999999994</v>
          </cell>
          <cell r="F1135">
            <v>190</v>
          </cell>
          <cell r="G1135">
            <v>450</v>
          </cell>
          <cell r="H1135">
            <v>9.4</v>
          </cell>
          <cell r="I1135">
            <v>14.6</v>
          </cell>
          <cell r="K1135">
            <v>1641.2</v>
          </cell>
          <cell r="L1135">
            <v>9880</v>
          </cell>
          <cell r="M1135" t="str">
            <v>99.49.48.150.0</v>
          </cell>
          <cell r="O1135" t="str">
            <v>A36</v>
          </cell>
          <cell r="P1135" t="str">
            <v>N</v>
          </cell>
        </row>
        <row r="1136">
          <cell r="A1136">
            <v>1135</v>
          </cell>
          <cell r="B1136" t="str">
            <v>"IPE" ESTRUCTURAL (Laminado) SOBRANTE</v>
          </cell>
          <cell r="C1136" t="str">
            <v>IPE 500</v>
          </cell>
          <cell r="D1136">
            <v>90.7</v>
          </cell>
          <cell r="E1136">
            <v>90.7</v>
          </cell>
          <cell r="F1136">
            <v>200</v>
          </cell>
          <cell r="G1136">
            <v>500</v>
          </cell>
          <cell r="H1136">
            <v>10.199999999999999</v>
          </cell>
          <cell r="I1136">
            <v>16</v>
          </cell>
          <cell r="K1136">
            <v>1779.6</v>
          </cell>
          <cell r="L1136">
            <v>11600</v>
          </cell>
          <cell r="M1136" t="str">
            <v>99.49.48.160.00</v>
          </cell>
          <cell r="O1136" t="str">
            <v>A36</v>
          </cell>
          <cell r="P1136" t="str">
            <v>N</v>
          </cell>
        </row>
        <row r="1137">
          <cell r="A1137">
            <v>1136</v>
          </cell>
          <cell r="B1137" t="str">
            <v>"IPE" ESTRUCTURAL (Laminado) SOBRANTE</v>
          </cell>
          <cell r="C1137" t="str">
            <v>IPE 550</v>
          </cell>
          <cell r="D1137">
            <v>106</v>
          </cell>
          <cell r="E1137">
            <v>106</v>
          </cell>
          <cell r="F1137">
            <v>210</v>
          </cell>
          <cell r="G1137">
            <v>550</v>
          </cell>
          <cell r="H1137">
            <v>11.1</v>
          </cell>
          <cell r="I1137">
            <v>17.2</v>
          </cell>
          <cell r="K1137">
            <v>1917.8</v>
          </cell>
          <cell r="L1137">
            <v>13400</v>
          </cell>
          <cell r="M1137" t="str">
            <v>99.49.48.170.0</v>
          </cell>
          <cell r="O1137" t="str">
            <v>A36</v>
          </cell>
          <cell r="P1137" t="str">
            <v>N</v>
          </cell>
        </row>
        <row r="1138">
          <cell r="A1138">
            <v>1137</v>
          </cell>
          <cell r="B1138" t="str">
            <v>"UPN" ESTRUCTURAL (Laminado) SOBRANTE</v>
          </cell>
          <cell r="C1138" t="str">
            <v>UPN 50</v>
          </cell>
          <cell r="D1138">
            <v>5.59</v>
          </cell>
          <cell r="E1138">
            <v>5.59</v>
          </cell>
          <cell r="F1138">
            <v>38</v>
          </cell>
          <cell r="G1138">
            <v>50</v>
          </cell>
          <cell r="H1138">
            <v>5</v>
          </cell>
          <cell r="I1138">
            <v>7</v>
          </cell>
          <cell r="K1138">
            <v>233</v>
          </cell>
          <cell r="L1138">
            <v>712</v>
          </cell>
          <cell r="O1138" t="str">
            <v>A36</v>
          </cell>
          <cell r="P1138" t="str">
            <v>S</v>
          </cell>
        </row>
        <row r="1139">
          <cell r="A1139">
            <v>1138</v>
          </cell>
          <cell r="B1139" t="str">
            <v>"UPN" ESTRUCTURAL (Laminado) SOBRANTE</v>
          </cell>
          <cell r="C1139" t="str">
            <v>UPN 65</v>
          </cell>
          <cell r="D1139">
            <v>7.09</v>
          </cell>
          <cell r="E1139">
            <v>7.09</v>
          </cell>
          <cell r="F1139">
            <v>42</v>
          </cell>
          <cell r="G1139">
            <v>65</v>
          </cell>
          <cell r="H1139">
            <v>5.5</v>
          </cell>
          <cell r="I1139">
            <v>7.5</v>
          </cell>
          <cell r="K1139">
            <v>277.5</v>
          </cell>
          <cell r="L1139">
            <v>902.99999999999989</v>
          </cell>
          <cell r="O1139" t="str">
            <v>A36</v>
          </cell>
          <cell r="P1139" t="str">
            <v>N</v>
          </cell>
        </row>
        <row r="1140">
          <cell r="A1140">
            <v>1139</v>
          </cell>
          <cell r="B1140" t="str">
            <v>"UPN" ESTRUCTURAL (Laminado) SOBRANTE</v>
          </cell>
          <cell r="C1140" t="str">
            <v>UPN 80</v>
          </cell>
          <cell r="D1140">
            <v>8.64</v>
          </cell>
          <cell r="E1140">
            <v>8.64</v>
          </cell>
          <cell r="F1140">
            <v>45</v>
          </cell>
          <cell r="G1140">
            <v>80</v>
          </cell>
          <cell r="H1140">
            <v>6</v>
          </cell>
          <cell r="I1140">
            <v>8</v>
          </cell>
          <cell r="K1140">
            <v>318</v>
          </cell>
          <cell r="L1140">
            <v>1100</v>
          </cell>
          <cell r="M1140" t="str">
            <v>99.49.80.050.0</v>
          </cell>
          <cell r="O1140" t="str">
            <v>A36</v>
          </cell>
          <cell r="P1140" t="str">
            <v>S</v>
          </cell>
        </row>
        <row r="1141">
          <cell r="A1141">
            <v>1140</v>
          </cell>
          <cell r="B1141" t="str">
            <v>"UPN" ESTRUCTURAL (Laminado) SOBRANTE</v>
          </cell>
          <cell r="C1141" t="str">
            <v>UPN 100</v>
          </cell>
          <cell r="D1141">
            <v>10.6</v>
          </cell>
          <cell r="E1141">
            <v>10.6</v>
          </cell>
          <cell r="F1141">
            <v>50</v>
          </cell>
          <cell r="G1141">
            <v>100</v>
          </cell>
          <cell r="H1141">
            <v>6</v>
          </cell>
          <cell r="I1141">
            <v>8.5</v>
          </cell>
          <cell r="K1141">
            <v>377</v>
          </cell>
          <cell r="L1141">
            <v>1350</v>
          </cell>
          <cell r="M1141" t="str">
            <v>99.49.80.060.0</v>
          </cell>
          <cell r="O1141" t="str">
            <v>A36</v>
          </cell>
          <cell r="P1141" t="str">
            <v>S</v>
          </cell>
        </row>
        <row r="1142">
          <cell r="A1142">
            <v>1141</v>
          </cell>
          <cell r="B1142" t="str">
            <v>"UPN" ESTRUCTURAL (Laminado) SOBRANTE</v>
          </cell>
          <cell r="C1142" t="str">
            <v>UPN 120</v>
          </cell>
          <cell r="D1142">
            <v>13.4</v>
          </cell>
          <cell r="E1142">
            <v>13.4</v>
          </cell>
          <cell r="F1142">
            <v>55</v>
          </cell>
          <cell r="G1142">
            <v>120</v>
          </cell>
          <cell r="H1142">
            <v>7</v>
          </cell>
          <cell r="I1142">
            <v>9</v>
          </cell>
          <cell r="K1142">
            <v>435</v>
          </cell>
          <cell r="L1142">
            <v>1700</v>
          </cell>
          <cell r="M1142" t="str">
            <v>99.49.80.070.0</v>
          </cell>
          <cell r="O1142" t="str">
            <v>A36</v>
          </cell>
          <cell r="P1142" t="str">
            <v>S</v>
          </cell>
        </row>
        <row r="1143">
          <cell r="A1143">
            <v>1142</v>
          </cell>
          <cell r="B1143" t="str">
            <v>"UPN" ESTRUCTURAL (Laminado) SOBRANTE</v>
          </cell>
          <cell r="C1143" t="str">
            <v>UPN 140</v>
          </cell>
          <cell r="D1143">
            <v>16</v>
          </cell>
          <cell r="E1143">
            <v>16</v>
          </cell>
          <cell r="F1143">
            <v>60</v>
          </cell>
          <cell r="G1143">
            <v>140</v>
          </cell>
          <cell r="H1143">
            <v>7</v>
          </cell>
          <cell r="I1143">
            <v>10</v>
          </cell>
          <cell r="K1143">
            <v>493</v>
          </cell>
          <cell r="L1143">
            <v>2039.9999999999998</v>
          </cell>
          <cell r="M1143" t="str">
            <v>99.49.80.080.0</v>
          </cell>
          <cell r="N1143">
            <v>6000</v>
          </cell>
          <cell r="O1143" t="str">
            <v>A36</v>
          </cell>
          <cell r="P1143" t="str">
            <v>S</v>
          </cell>
        </row>
        <row r="1144">
          <cell r="A1144">
            <v>1143</v>
          </cell>
          <cell r="B1144" t="str">
            <v>"UPN" ESTRUCTURAL (Laminado) SOBRANTE</v>
          </cell>
          <cell r="C1144" t="str">
            <v>UPN 160</v>
          </cell>
          <cell r="D1144">
            <v>18.8</v>
          </cell>
          <cell r="E1144">
            <v>18.8</v>
          </cell>
          <cell r="F1144">
            <v>65</v>
          </cell>
          <cell r="G1144">
            <v>160</v>
          </cell>
          <cell r="H1144">
            <v>7.5</v>
          </cell>
          <cell r="I1144">
            <v>10.5</v>
          </cell>
          <cell r="K1144">
            <v>551.5</v>
          </cell>
          <cell r="L1144">
            <v>2400</v>
          </cell>
          <cell r="M1144" t="str">
            <v>99.49.80.090.0</v>
          </cell>
          <cell r="N1144">
            <v>6000</v>
          </cell>
          <cell r="O1144" t="str">
            <v>A36</v>
          </cell>
          <cell r="P1144" t="str">
            <v>S</v>
          </cell>
        </row>
        <row r="1145">
          <cell r="A1145">
            <v>1144</v>
          </cell>
          <cell r="B1145" t="str">
            <v>"UPN" ESTRUCTURAL (Laminado) SOBRANTE</v>
          </cell>
          <cell r="C1145" t="str">
            <v>UPN 180</v>
          </cell>
          <cell r="D1145">
            <v>22</v>
          </cell>
          <cell r="E1145">
            <v>22</v>
          </cell>
          <cell r="F1145">
            <v>70</v>
          </cell>
          <cell r="G1145">
            <v>180</v>
          </cell>
          <cell r="H1145">
            <v>8</v>
          </cell>
          <cell r="I1145">
            <v>11</v>
          </cell>
          <cell r="K1145">
            <v>610</v>
          </cell>
          <cell r="L1145">
            <v>2800</v>
          </cell>
          <cell r="M1145" t="str">
            <v>99.49.80.100.01</v>
          </cell>
          <cell r="O1145" t="str">
            <v>A36</v>
          </cell>
          <cell r="P1145" t="str">
            <v>S</v>
          </cell>
        </row>
        <row r="1146">
          <cell r="A1146">
            <v>1145</v>
          </cell>
          <cell r="B1146" t="str">
            <v>"UPN" ESTRUCTURAL (Laminado) SOBRANTE</v>
          </cell>
          <cell r="C1146" t="str">
            <v>UPN 200</v>
          </cell>
          <cell r="D1146">
            <v>25.3</v>
          </cell>
          <cell r="E1146">
            <v>25.3</v>
          </cell>
          <cell r="F1146">
            <v>75</v>
          </cell>
          <cell r="G1146">
            <v>200</v>
          </cell>
          <cell r="H1146">
            <v>8.5</v>
          </cell>
          <cell r="I1146">
            <v>11.5</v>
          </cell>
          <cell r="K1146">
            <v>668.5</v>
          </cell>
          <cell r="L1146">
            <v>3220.0000000000005</v>
          </cell>
          <cell r="M1146" t="str">
            <v>99.49.80.110.0</v>
          </cell>
          <cell r="N1146">
            <v>6000</v>
          </cell>
          <cell r="O1146" t="str">
            <v>A36</v>
          </cell>
          <cell r="P1146" t="str">
            <v>S</v>
          </cell>
        </row>
        <row r="1147">
          <cell r="A1147">
            <v>1146</v>
          </cell>
          <cell r="B1147" t="str">
            <v>"UPN" ESTRUCTURAL (Laminado) SOBRANTE</v>
          </cell>
          <cell r="C1147" t="str">
            <v>UPN 220</v>
          </cell>
          <cell r="D1147">
            <v>29.4</v>
          </cell>
          <cell r="E1147">
            <v>29.4</v>
          </cell>
          <cell r="F1147">
            <v>80</v>
          </cell>
          <cell r="G1147">
            <v>220</v>
          </cell>
          <cell r="H1147">
            <v>9</v>
          </cell>
          <cell r="I1147">
            <v>12.5</v>
          </cell>
          <cell r="K1147">
            <v>726</v>
          </cell>
          <cell r="L1147">
            <v>3740</v>
          </cell>
          <cell r="M1147" t="str">
            <v>99.49.80.120.0</v>
          </cell>
          <cell r="N1147">
            <v>12000</v>
          </cell>
          <cell r="O1147" t="str">
            <v>A36</v>
          </cell>
          <cell r="P1147" t="str">
            <v>S</v>
          </cell>
        </row>
        <row r="1148">
          <cell r="A1148">
            <v>1147</v>
          </cell>
          <cell r="B1148" t="str">
            <v>"UPN" ESTRUCTURAL (Laminado) SOBRANTE</v>
          </cell>
          <cell r="C1148" t="str">
            <v>UPN 240</v>
          </cell>
          <cell r="D1148">
            <v>33.200000000000003</v>
          </cell>
          <cell r="E1148">
            <v>33.200000000000003</v>
          </cell>
          <cell r="F1148">
            <v>85</v>
          </cell>
          <cell r="G1148">
            <v>240</v>
          </cell>
          <cell r="H1148">
            <v>9.5</v>
          </cell>
          <cell r="I1148">
            <v>13</v>
          </cell>
          <cell r="K1148">
            <v>784.5</v>
          </cell>
          <cell r="L1148">
            <v>4230</v>
          </cell>
          <cell r="M1148" t="str">
            <v>99.49.80.130.0</v>
          </cell>
          <cell r="O1148" t="str">
            <v>A36</v>
          </cell>
          <cell r="P1148" t="str">
            <v>N</v>
          </cell>
        </row>
        <row r="1149">
          <cell r="A1149">
            <v>1148</v>
          </cell>
          <cell r="B1149" t="str">
            <v>"UPN" ESTRUCTURAL (Laminado) SOBRANTE</v>
          </cell>
          <cell r="C1149" t="str">
            <v>UPN 260</v>
          </cell>
          <cell r="D1149">
            <v>37.9</v>
          </cell>
          <cell r="E1149">
            <v>37.9</v>
          </cell>
          <cell r="F1149">
            <v>90</v>
          </cell>
          <cell r="G1149">
            <v>260</v>
          </cell>
          <cell r="H1149">
            <v>10</v>
          </cell>
          <cell r="I1149">
            <v>14</v>
          </cell>
          <cell r="K1149">
            <v>842</v>
          </cell>
          <cell r="L1149">
            <v>4830</v>
          </cell>
          <cell r="M1149" t="str">
            <v>99.49.80.140.0</v>
          </cell>
          <cell r="N1149">
            <v>12000</v>
          </cell>
          <cell r="O1149" t="str">
            <v>A36</v>
          </cell>
          <cell r="P1149" t="str">
            <v>N</v>
          </cell>
        </row>
        <row r="1150">
          <cell r="A1150">
            <v>1149</v>
          </cell>
          <cell r="B1150" t="str">
            <v>"UPN" ESTRUCTURAL (Laminado) SOBRANTE</v>
          </cell>
          <cell r="C1150" t="str">
            <v>UPN 280</v>
          </cell>
          <cell r="D1150">
            <v>41.8</v>
          </cell>
          <cell r="E1150">
            <v>41.8</v>
          </cell>
          <cell r="F1150">
            <v>95</v>
          </cell>
          <cell r="G1150">
            <v>280</v>
          </cell>
          <cell r="H1150">
            <v>10</v>
          </cell>
          <cell r="I1150">
            <v>15</v>
          </cell>
          <cell r="K1150">
            <v>900</v>
          </cell>
          <cell r="L1150">
            <v>5330</v>
          </cell>
          <cell r="O1150" t="str">
            <v>A36</v>
          </cell>
          <cell r="P1150" t="str">
            <v>N</v>
          </cell>
        </row>
        <row r="1151">
          <cell r="A1151">
            <v>1150</v>
          </cell>
          <cell r="B1151" t="str">
            <v>"UPN" ESTRUCTURAL (Laminado) SOBRANTE</v>
          </cell>
          <cell r="C1151" t="str">
            <v>UPN 300</v>
          </cell>
          <cell r="D1151">
            <v>46.2</v>
          </cell>
          <cell r="E1151">
            <v>46.2</v>
          </cell>
          <cell r="F1151">
            <v>100</v>
          </cell>
          <cell r="G1151">
            <v>300</v>
          </cell>
          <cell r="H1151">
            <v>10</v>
          </cell>
          <cell r="I1151">
            <v>16</v>
          </cell>
          <cell r="K1151">
            <v>958</v>
          </cell>
          <cell r="L1151">
            <v>5880</v>
          </cell>
          <cell r="M1151" t="str">
            <v>99.49.80.160.0</v>
          </cell>
          <cell r="O1151" t="str">
            <v>A36</v>
          </cell>
          <cell r="P1151" t="str">
            <v>N</v>
          </cell>
        </row>
        <row r="1152">
          <cell r="A1152">
            <v>1151</v>
          </cell>
          <cell r="B1152" t="str">
            <v>"L" PERFIL ANGULAR LAMINADO A572 SOBRANTE</v>
          </cell>
          <cell r="C1152" t="str">
            <v>L 25x3</v>
          </cell>
          <cell r="D1152">
            <v>1.1199999999999999</v>
          </cell>
          <cell r="E1152">
            <v>1.1199999999999999</v>
          </cell>
          <cell r="F1152" t="str">
            <v>25</v>
          </cell>
          <cell r="G1152" t="str">
            <v>25</v>
          </cell>
          <cell r="H1152" t="str">
            <v>3</v>
          </cell>
          <cell r="K1152">
            <v>100</v>
          </cell>
          <cell r="L1152">
            <v>143</v>
          </cell>
          <cell r="O1152" t="str">
            <v>A572 G50</v>
          </cell>
          <cell r="P1152" t="str">
            <v>S</v>
          </cell>
        </row>
        <row r="1153">
          <cell r="A1153">
            <v>1152</v>
          </cell>
          <cell r="B1153" t="str">
            <v>"L" PERFIL ANGULAR LAMINADO A572 SOBRANTE</v>
          </cell>
          <cell r="C1153" t="str">
            <v>L 25x4</v>
          </cell>
          <cell r="D1153">
            <v>1.45</v>
          </cell>
          <cell r="E1153">
            <v>1.45</v>
          </cell>
          <cell r="F1153" t="str">
            <v>25</v>
          </cell>
          <cell r="G1153" t="str">
            <v>25</v>
          </cell>
          <cell r="H1153" t="str">
            <v>4</v>
          </cell>
          <cell r="K1153">
            <v>100</v>
          </cell>
          <cell r="L1153">
            <v>186</v>
          </cell>
          <cell r="O1153" t="str">
            <v>A572 G50</v>
          </cell>
          <cell r="P1153" t="str">
            <v>S</v>
          </cell>
        </row>
        <row r="1154">
          <cell r="A1154">
            <v>1153</v>
          </cell>
          <cell r="B1154" t="str">
            <v>"L" PERFIL ANGULAR LAMINADO A572 SOBRANTE</v>
          </cell>
          <cell r="C1154" t="str">
            <v>L 30x3</v>
          </cell>
          <cell r="D1154">
            <v>1.36</v>
          </cell>
          <cell r="E1154">
            <v>1.36</v>
          </cell>
          <cell r="F1154" t="str">
            <v>30</v>
          </cell>
          <cell r="G1154" t="str">
            <v>30</v>
          </cell>
          <cell r="H1154" t="str">
            <v>3</v>
          </cell>
          <cell r="K1154">
            <v>120</v>
          </cell>
          <cell r="L1154">
            <v>174</v>
          </cell>
          <cell r="O1154" t="str">
            <v>A572 G50</v>
          </cell>
          <cell r="P1154" t="str">
            <v>S</v>
          </cell>
        </row>
        <row r="1155">
          <cell r="A1155">
            <v>1154</v>
          </cell>
          <cell r="B1155" t="str">
            <v>"L" PERFIL ANGULAR LAMINADO A572 SOBRANTE</v>
          </cell>
          <cell r="C1155" t="str">
            <v>L 30x4</v>
          </cell>
          <cell r="D1155">
            <v>1.78</v>
          </cell>
          <cell r="E1155">
            <v>1.78</v>
          </cell>
          <cell r="F1155" t="str">
            <v>30</v>
          </cell>
          <cell r="G1155" t="str">
            <v>30</v>
          </cell>
          <cell r="H1155" t="str">
            <v>4</v>
          </cell>
          <cell r="K1155">
            <v>120</v>
          </cell>
          <cell r="L1155">
            <v>227</v>
          </cell>
          <cell r="O1155" t="str">
            <v>A572 G50</v>
          </cell>
          <cell r="P1155" t="str">
            <v>S</v>
          </cell>
        </row>
        <row r="1156">
          <cell r="A1156">
            <v>1155</v>
          </cell>
          <cell r="B1156" t="str">
            <v>"L" PERFIL ANGULAR LAMINADO A572 SOBRANTE</v>
          </cell>
          <cell r="C1156" t="str">
            <v>L 40x3</v>
          </cell>
          <cell r="D1156">
            <v>1.84</v>
          </cell>
          <cell r="E1156">
            <v>1.84</v>
          </cell>
          <cell r="F1156" t="str">
            <v>40</v>
          </cell>
          <cell r="G1156" t="str">
            <v>40</v>
          </cell>
          <cell r="H1156" t="str">
            <v>3</v>
          </cell>
          <cell r="K1156">
            <v>160</v>
          </cell>
          <cell r="L1156">
            <v>235</v>
          </cell>
          <cell r="M1156" t="str">
            <v>99.04.40.066.0</v>
          </cell>
          <cell r="O1156" t="str">
            <v>A572 G50</v>
          </cell>
          <cell r="P1156" t="str">
            <v>S</v>
          </cell>
        </row>
        <row r="1157">
          <cell r="A1157">
            <v>1156</v>
          </cell>
          <cell r="B1157" t="str">
            <v>"L" PERFIL ANGULAR LAMINADO A572 SOBRANTE</v>
          </cell>
          <cell r="C1157" t="str">
            <v>L 40x4</v>
          </cell>
          <cell r="D1157">
            <v>2.42</v>
          </cell>
          <cell r="E1157">
            <v>2.42</v>
          </cell>
          <cell r="F1157" t="str">
            <v>40</v>
          </cell>
          <cell r="G1157" t="str">
            <v>40</v>
          </cell>
          <cell r="H1157" t="str">
            <v>4</v>
          </cell>
          <cell r="K1157">
            <v>160</v>
          </cell>
          <cell r="L1157">
            <v>308</v>
          </cell>
          <cell r="M1157" t="str">
            <v>99.04.40.072.0</v>
          </cell>
          <cell r="O1157" t="str">
            <v>A572 G50</v>
          </cell>
          <cell r="P1157" t="str">
            <v>S</v>
          </cell>
        </row>
        <row r="1158">
          <cell r="A1158">
            <v>1157</v>
          </cell>
          <cell r="B1158" t="str">
            <v>"L" PERFIL ANGULAR LAMINADO A572 SOBRANTE</v>
          </cell>
          <cell r="C1158" t="str">
            <v>L 40x5</v>
          </cell>
          <cell r="D1158">
            <v>2.97</v>
          </cell>
          <cell r="E1158">
            <v>2.97</v>
          </cell>
          <cell r="F1158" t="str">
            <v>40</v>
          </cell>
          <cell r="G1158" t="str">
            <v>40</v>
          </cell>
          <cell r="H1158" t="str">
            <v>5</v>
          </cell>
          <cell r="K1158">
            <v>160</v>
          </cell>
          <cell r="L1158">
            <v>379</v>
          </cell>
          <cell r="O1158" t="str">
            <v>A572 G50</v>
          </cell>
          <cell r="P1158" t="str">
            <v>N</v>
          </cell>
        </row>
        <row r="1159">
          <cell r="A1159">
            <v>1158</v>
          </cell>
          <cell r="B1159" t="str">
            <v>"L" PERFIL ANGULAR LAMINADO A572 SOBRANTE</v>
          </cell>
          <cell r="C1159" t="str">
            <v>L 40x6</v>
          </cell>
          <cell r="D1159">
            <v>3.52</v>
          </cell>
          <cell r="E1159">
            <v>3.52</v>
          </cell>
          <cell r="F1159" t="str">
            <v>40</v>
          </cell>
          <cell r="G1159" t="str">
            <v>40</v>
          </cell>
          <cell r="H1159" t="str">
            <v>6</v>
          </cell>
          <cell r="K1159">
            <v>160</v>
          </cell>
          <cell r="L1159">
            <v>448.00000000000006</v>
          </cell>
          <cell r="O1159" t="str">
            <v>A572 G50</v>
          </cell>
          <cell r="P1159" t="str">
            <v>N</v>
          </cell>
        </row>
        <row r="1160">
          <cell r="A1160">
            <v>1159</v>
          </cell>
          <cell r="B1160" t="str">
            <v>"L" PERFIL ANGULAR LAMINADO A572 SOBRANTE</v>
          </cell>
          <cell r="C1160" t="str">
            <v>L 45 x 4</v>
          </cell>
          <cell r="D1160">
            <v>2.74</v>
          </cell>
          <cell r="E1160">
            <v>2.74</v>
          </cell>
          <cell r="F1160" t="str">
            <v xml:space="preserve">45 </v>
          </cell>
          <cell r="G1160" t="str">
            <v xml:space="preserve">45 </v>
          </cell>
          <cell r="H1160" t="str">
            <v xml:space="preserve"> 4</v>
          </cell>
          <cell r="K1160">
            <v>180</v>
          </cell>
          <cell r="L1160">
            <v>349</v>
          </cell>
          <cell r="M1160" t="str">
            <v>99.04.40.090.0</v>
          </cell>
          <cell r="O1160" t="str">
            <v>A572 G50</v>
          </cell>
          <cell r="P1160" t="str">
            <v>S</v>
          </cell>
        </row>
        <row r="1161">
          <cell r="A1161">
            <v>1160</v>
          </cell>
          <cell r="B1161" t="str">
            <v>"L" PERFIL ANGULAR LAMINADO A572 SOBRANTE</v>
          </cell>
          <cell r="C1161" t="str">
            <v>L 45 x 5</v>
          </cell>
          <cell r="D1161">
            <v>3.38</v>
          </cell>
          <cell r="E1161">
            <v>3.38</v>
          </cell>
          <cell r="F1161" t="str">
            <v xml:space="preserve">45 </v>
          </cell>
          <cell r="G1161" t="str">
            <v xml:space="preserve">45 </v>
          </cell>
          <cell r="H1161" t="str">
            <v xml:space="preserve"> 5</v>
          </cell>
          <cell r="K1161">
            <v>180</v>
          </cell>
          <cell r="L1161">
            <v>430</v>
          </cell>
          <cell r="M1161" t="str">
            <v>99.04.40.102.0</v>
          </cell>
          <cell r="O1161" t="str">
            <v>A572 G50</v>
          </cell>
          <cell r="P1161" t="str">
            <v>S</v>
          </cell>
        </row>
        <row r="1162">
          <cell r="A1162">
            <v>1161</v>
          </cell>
          <cell r="B1162" t="str">
            <v>"L" PERFIL ANGULAR LAMINADO A572 SOBRANTE</v>
          </cell>
          <cell r="C1162" t="str">
            <v>L 50x3</v>
          </cell>
          <cell r="D1162">
            <v>2.36</v>
          </cell>
          <cell r="E1162">
            <v>2.36</v>
          </cell>
          <cell r="F1162" t="str">
            <v>50</v>
          </cell>
          <cell r="G1162" t="str">
            <v>50</v>
          </cell>
          <cell r="H1162" t="str">
            <v>3</v>
          </cell>
          <cell r="K1162">
            <v>200</v>
          </cell>
          <cell r="L1162">
            <v>296</v>
          </cell>
          <cell r="M1162" t="str">
            <v>99.04.40.108.0</v>
          </cell>
          <cell r="O1162" t="str">
            <v>A572 G50</v>
          </cell>
          <cell r="P1162" t="str">
            <v>S</v>
          </cell>
        </row>
        <row r="1163">
          <cell r="A1163">
            <v>1162</v>
          </cell>
          <cell r="B1163" t="str">
            <v>"L" PERFIL ANGULAR LAMINADO A572 SOBRANTE</v>
          </cell>
          <cell r="C1163" t="str">
            <v>L 50x4</v>
          </cell>
          <cell r="D1163">
            <v>3.06</v>
          </cell>
          <cell r="E1163">
            <v>3.06</v>
          </cell>
          <cell r="F1163" t="str">
            <v>50</v>
          </cell>
          <cell r="G1163" t="str">
            <v>50</v>
          </cell>
          <cell r="H1163" t="str">
            <v>4</v>
          </cell>
          <cell r="K1163">
            <v>200</v>
          </cell>
          <cell r="L1163">
            <v>398</v>
          </cell>
          <cell r="M1163" t="str">
            <v>99.04.40.114.59</v>
          </cell>
          <cell r="O1163" t="str">
            <v>A572 G50</v>
          </cell>
          <cell r="P1163" t="str">
            <v>S</v>
          </cell>
        </row>
        <row r="1164">
          <cell r="A1164">
            <v>1163</v>
          </cell>
          <cell r="B1164" t="str">
            <v>"L" PERFIL ANGULAR LAMINADO A572 SOBRANTE</v>
          </cell>
          <cell r="C1164" t="str">
            <v>L 50x5</v>
          </cell>
          <cell r="D1164">
            <v>3.77</v>
          </cell>
          <cell r="E1164">
            <v>3.77</v>
          </cell>
          <cell r="F1164" t="str">
            <v>50</v>
          </cell>
          <cell r="G1164" t="str">
            <v>50</v>
          </cell>
          <cell r="H1164" t="str">
            <v>5</v>
          </cell>
          <cell r="K1164">
            <v>200</v>
          </cell>
          <cell r="L1164">
            <v>480</v>
          </cell>
          <cell r="M1164" t="str">
            <v>99.04.40.120.0</v>
          </cell>
          <cell r="O1164" t="str">
            <v>A572 G50</v>
          </cell>
          <cell r="P1164" t="str">
            <v>S</v>
          </cell>
        </row>
        <row r="1165">
          <cell r="A1165">
            <v>1164</v>
          </cell>
          <cell r="B1165" t="str">
            <v>"L" PERFIL ANGULAR LAMINADO A572 SOBRANTE</v>
          </cell>
          <cell r="C1165" t="str">
            <v>L 50x6</v>
          </cell>
          <cell r="D1165">
            <v>4.47</v>
          </cell>
          <cell r="E1165">
            <v>4.47</v>
          </cell>
          <cell r="F1165" t="str">
            <v>50</v>
          </cell>
          <cell r="G1165" t="str">
            <v>50</v>
          </cell>
          <cell r="H1165" t="str">
            <v>6</v>
          </cell>
          <cell r="K1165">
            <v>200</v>
          </cell>
          <cell r="L1165">
            <v>569</v>
          </cell>
          <cell r="M1165" t="str">
            <v>99.04.40.126.0</v>
          </cell>
          <cell r="O1165" t="str">
            <v>A572 G50</v>
          </cell>
          <cell r="P1165" t="str">
            <v>S</v>
          </cell>
        </row>
        <row r="1166">
          <cell r="A1166">
            <v>1165</v>
          </cell>
          <cell r="B1166" t="str">
            <v>"L" PERFIL ANGULAR LAMINADO A572 SOBRANTE</v>
          </cell>
          <cell r="C1166" t="str">
            <v>L 60x5</v>
          </cell>
          <cell r="D1166">
            <v>4.57</v>
          </cell>
          <cell r="E1166">
            <v>4.57</v>
          </cell>
          <cell r="F1166" t="str">
            <v>60</v>
          </cell>
          <cell r="G1166" t="str">
            <v>60</v>
          </cell>
          <cell r="H1166" t="str">
            <v>5</v>
          </cell>
          <cell r="K1166">
            <v>240</v>
          </cell>
          <cell r="L1166">
            <v>582</v>
          </cell>
          <cell r="M1166" t="str">
            <v>99.04.40.156.0</v>
          </cell>
          <cell r="O1166" t="str">
            <v>A572 G50</v>
          </cell>
          <cell r="P1166" t="str">
            <v>N</v>
          </cell>
        </row>
        <row r="1167">
          <cell r="A1167">
            <v>1166</v>
          </cell>
          <cell r="B1167" t="str">
            <v>"L" PERFIL ANGULAR LAMINADO A572 SOBRANTE</v>
          </cell>
          <cell r="C1167" t="str">
            <v>L 60x6</v>
          </cell>
          <cell r="D1167">
            <v>5.4233333333333329</v>
          </cell>
          <cell r="E1167">
            <v>5.4233333333333329</v>
          </cell>
          <cell r="F1167" t="str">
            <v>60</v>
          </cell>
          <cell r="G1167" t="str">
            <v>60</v>
          </cell>
          <cell r="H1167" t="str">
            <v>6</v>
          </cell>
          <cell r="K1167">
            <v>240</v>
          </cell>
          <cell r="L1167">
            <v>691</v>
          </cell>
          <cell r="M1167" t="str">
            <v>99.04.40.162.0</v>
          </cell>
          <cell r="O1167" t="str">
            <v>A572 G50</v>
          </cell>
          <cell r="P1167" t="str">
            <v>N</v>
          </cell>
        </row>
        <row r="1168">
          <cell r="A1168">
            <v>1167</v>
          </cell>
          <cell r="B1168" t="str">
            <v>"L" PERFIL ANGULAR LAMINADO A572 SOBRANTE</v>
          </cell>
          <cell r="C1168" t="str">
            <v>L 65x5</v>
          </cell>
          <cell r="D1168">
            <v>4.95</v>
          </cell>
          <cell r="E1168">
            <v>4.95</v>
          </cell>
          <cell r="F1168" t="str">
            <v>65</v>
          </cell>
          <cell r="G1168" t="str">
            <v>65</v>
          </cell>
          <cell r="H1168" t="str">
            <v>5</v>
          </cell>
          <cell r="K1168">
            <v>260</v>
          </cell>
          <cell r="L1168">
            <v>625</v>
          </cell>
          <cell r="M1168" t="str">
            <v>99.04.40.174.0</v>
          </cell>
          <cell r="O1168" t="str">
            <v>A572 G50</v>
          </cell>
          <cell r="P1168" t="str">
            <v>AE</v>
          </cell>
        </row>
        <row r="1169">
          <cell r="A1169">
            <v>1168</v>
          </cell>
          <cell r="B1169" t="str">
            <v>"L" PERFIL ANGULAR LAMINADO A572 SOBRANTE</v>
          </cell>
          <cell r="C1169" t="str">
            <v>L 65x6</v>
          </cell>
          <cell r="D1169">
            <v>5.91</v>
          </cell>
          <cell r="E1169">
            <v>5.91</v>
          </cell>
          <cell r="F1169" t="str">
            <v>65</v>
          </cell>
          <cell r="G1169" t="str">
            <v>65</v>
          </cell>
          <cell r="H1169" t="str">
            <v>6</v>
          </cell>
          <cell r="K1169">
            <v>260</v>
          </cell>
          <cell r="L1169">
            <v>744</v>
          </cell>
          <cell r="M1169" t="str">
            <v>99.04.40.180.0</v>
          </cell>
          <cell r="O1169" t="str">
            <v>A572 G50</v>
          </cell>
          <cell r="P1169" t="str">
            <v>AE</v>
          </cell>
        </row>
        <row r="1170">
          <cell r="A1170">
            <v>1169</v>
          </cell>
          <cell r="B1170" t="str">
            <v>"L" PERFIL ANGULAR LAMINADO A572 SOBRANTE</v>
          </cell>
          <cell r="C1170" t="str">
            <v>L 70x6</v>
          </cell>
          <cell r="D1170">
            <v>6.38</v>
          </cell>
          <cell r="E1170">
            <v>6.38</v>
          </cell>
          <cell r="F1170" t="str">
            <v>70</v>
          </cell>
          <cell r="G1170" t="str">
            <v>70</v>
          </cell>
          <cell r="H1170" t="str">
            <v>6</v>
          </cell>
          <cell r="K1170">
            <v>280</v>
          </cell>
          <cell r="L1170">
            <v>813.00000000000011</v>
          </cell>
          <cell r="M1170" t="str">
            <v>99.04.40.198.0</v>
          </cell>
          <cell r="O1170" t="str">
            <v>A572 G50</v>
          </cell>
          <cell r="P1170" t="str">
            <v>N</v>
          </cell>
        </row>
        <row r="1171">
          <cell r="A1171">
            <v>1170</v>
          </cell>
          <cell r="B1171" t="str">
            <v>"L" PERFIL ANGULAR LAMINADO A572 SOBRANTE</v>
          </cell>
          <cell r="C1171" t="str">
            <v>L 75x6</v>
          </cell>
          <cell r="D1171">
            <v>6.85</v>
          </cell>
          <cell r="E1171">
            <v>6.85</v>
          </cell>
          <cell r="F1171" t="str">
            <v>75</v>
          </cell>
          <cell r="G1171" t="str">
            <v>75</v>
          </cell>
          <cell r="H1171" t="str">
            <v>6</v>
          </cell>
          <cell r="K1171">
            <v>300</v>
          </cell>
          <cell r="L1171">
            <v>866</v>
          </cell>
          <cell r="M1171" t="str">
            <v>99.04.40.234.0</v>
          </cell>
          <cell r="O1171" t="str">
            <v>A572 G50</v>
          </cell>
          <cell r="P1171" t="str">
            <v>S</v>
          </cell>
        </row>
        <row r="1172">
          <cell r="A1172">
            <v>1171</v>
          </cell>
          <cell r="B1172" t="str">
            <v>"L" PERFIL ANGULAR LAMINADO A572 SOBRANTE</v>
          </cell>
          <cell r="C1172" t="str">
            <v>L 75x8</v>
          </cell>
          <cell r="D1172">
            <v>9.0299999999999994</v>
          </cell>
          <cell r="E1172">
            <v>9.0299999999999994</v>
          </cell>
          <cell r="F1172" t="str">
            <v>75</v>
          </cell>
          <cell r="G1172" t="str">
            <v>75</v>
          </cell>
          <cell r="H1172" t="str">
            <v>8</v>
          </cell>
          <cell r="K1172">
            <v>300</v>
          </cell>
          <cell r="L1172">
            <v>1136</v>
          </cell>
          <cell r="M1172" t="str">
            <v>99.04.40.246.0</v>
          </cell>
          <cell r="O1172" t="str">
            <v>A572 G50</v>
          </cell>
          <cell r="P1172" t="str">
            <v>S</v>
          </cell>
        </row>
        <row r="1173">
          <cell r="A1173">
            <v>1172</v>
          </cell>
          <cell r="B1173" t="str">
            <v>"L" PERFIL ANGULAR LAMINADO A572 SOBRANTE</v>
          </cell>
          <cell r="C1173" t="str">
            <v>L 100x6</v>
          </cell>
          <cell r="D1173">
            <v>9.3000000000000007</v>
          </cell>
          <cell r="E1173">
            <v>9.3000000000000007</v>
          </cell>
          <cell r="F1173" t="str">
            <v>100</v>
          </cell>
          <cell r="G1173" t="str">
            <v>100</v>
          </cell>
          <cell r="H1173" t="str">
            <v>6</v>
          </cell>
          <cell r="K1173">
            <v>400</v>
          </cell>
          <cell r="L1173">
            <v>1175</v>
          </cell>
          <cell r="M1173" t="str">
            <v>99.04.40.324.0</v>
          </cell>
          <cell r="O1173" t="str">
            <v>A572 G50</v>
          </cell>
          <cell r="P1173" t="str">
            <v>S</v>
          </cell>
        </row>
        <row r="1174">
          <cell r="A1174">
            <v>1173</v>
          </cell>
          <cell r="B1174" t="str">
            <v>"L" PERFIL ANGULAR LAMINADO A572 SOBRANTE</v>
          </cell>
          <cell r="C1174" t="str">
            <v>L 100x8</v>
          </cell>
          <cell r="D1174">
            <v>12.200000000000001</v>
          </cell>
          <cell r="E1174">
            <v>12.200000000000001</v>
          </cell>
          <cell r="F1174" t="str">
            <v>100</v>
          </cell>
          <cell r="G1174" t="str">
            <v>100</v>
          </cell>
          <cell r="H1174" t="str">
            <v>8</v>
          </cell>
          <cell r="K1174">
            <v>400</v>
          </cell>
          <cell r="L1174">
            <v>1550</v>
          </cell>
          <cell r="M1174" t="str">
            <v>99.04.40.336.0</v>
          </cell>
          <cell r="O1174" t="str">
            <v>A572 G50</v>
          </cell>
          <cell r="P1174" t="str">
            <v>S</v>
          </cell>
        </row>
        <row r="1175">
          <cell r="A1175">
            <v>1174</v>
          </cell>
          <cell r="B1175" t="str">
            <v>"L" PERFIL ANGULAR LAMINADO A572 SOBRANTE</v>
          </cell>
          <cell r="C1175" t="str">
            <v>L 100x10</v>
          </cell>
          <cell r="D1175">
            <v>15.1</v>
          </cell>
          <cell r="E1175">
            <v>15.1</v>
          </cell>
          <cell r="F1175" t="str">
            <v>100</v>
          </cell>
          <cell r="G1175" t="str">
            <v>100</v>
          </cell>
          <cell r="H1175" t="str">
            <v>10</v>
          </cell>
          <cell r="K1175">
            <v>400</v>
          </cell>
          <cell r="L1175">
            <v>1920</v>
          </cell>
          <cell r="M1175" t="str">
            <v>99.04.40.342.0</v>
          </cell>
          <cell r="O1175" t="str">
            <v>A572 G50</v>
          </cell>
          <cell r="P1175" t="str">
            <v>S</v>
          </cell>
        </row>
        <row r="1176">
          <cell r="A1176">
            <v>1175</v>
          </cell>
          <cell r="B1176" t="str">
            <v>"L" PERFIL ANGULAR LAMINADO A572 SOBRANTE</v>
          </cell>
          <cell r="C1176" t="str">
            <v>L 100x12</v>
          </cell>
          <cell r="D1176">
            <v>17.8</v>
          </cell>
          <cell r="E1176">
            <v>17.8</v>
          </cell>
          <cell r="F1176" t="str">
            <v>100</v>
          </cell>
          <cell r="G1176" t="str">
            <v>100</v>
          </cell>
          <cell r="H1176" t="str">
            <v>12</v>
          </cell>
          <cell r="K1176">
            <v>400</v>
          </cell>
          <cell r="L1176">
            <v>2270</v>
          </cell>
          <cell r="M1176" t="str">
            <v>99.04.40.348.0</v>
          </cell>
          <cell r="O1176" t="str">
            <v>A572 G50</v>
          </cell>
          <cell r="P1176" t="str">
            <v>S</v>
          </cell>
        </row>
        <row r="1177">
          <cell r="A1177">
            <v>1176</v>
          </cell>
          <cell r="B1177" t="str">
            <v>"L" PERFIL ANGULAR LAMINADO A572 SOBRANTE</v>
          </cell>
          <cell r="C1177" t="str">
            <v>L 100x15</v>
          </cell>
          <cell r="D1177">
            <v>21.9</v>
          </cell>
          <cell r="E1177">
            <v>21.9</v>
          </cell>
          <cell r="F1177" t="str">
            <v>100</v>
          </cell>
          <cell r="G1177" t="str">
            <v>100</v>
          </cell>
          <cell r="H1177" t="str">
            <v>15</v>
          </cell>
          <cell r="K1177">
            <v>400</v>
          </cell>
          <cell r="M1177" t="str">
            <v>99.04.40.350.01</v>
          </cell>
          <cell r="O1177" t="str">
            <v>A572 G50</v>
          </cell>
          <cell r="P1177" t="str">
            <v>N</v>
          </cell>
        </row>
        <row r="1178">
          <cell r="A1178">
            <v>1177</v>
          </cell>
          <cell r="B1178" t="str">
            <v>"L" PERFIL ANGULAR LAMINADO A572 SOBRANTE</v>
          </cell>
          <cell r="C1178" t="str">
            <v>L 130x12</v>
          </cell>
          <cell r="D1178">
            <v>23.6</v>
          </cell>
          <cell r="E1178">
            <v>23.6</v>
          </cell>
          <cell r="F1178" t="str">
            <v>130</v>
          </cell>
          <cell r="G1178" t="str">
            <v>130</v>
          </cell>
          <cell r="H1178" t="str">
            <v>12</v>
          </cell>
          <cell r="K1178">
            <v>520</v>
          </cell>
          <cell r="L1178">
            <v>3000</v>
          </cell>
          <cell r="M1178" t="str">
            <v>99.04.40.420.0</v>
          </cell>
          <cell r="O1178" t="str">
            <v>A572 G50</v>
          </cell>
          <cell r="P1178" t="str">
            <v>S</v>
          </cell>
        </row>
        <row r="1179">
          <cell r="A1179">
            <v>1178</v>
          </cell>
          <cell r="B1179" t="str">
            <v>"L" PERFIL ANGULAR LAMINADO A36 SOBRANTE</v>
          </cell>
          <cell r="C1179" t="str">
            <v>L 25x3</v>
          </cell>
          <cell r="D1179">
            <v>1.1199999999999999</v>
          </cell>
          <cell r="E1179">
            <v>1.1199999999999999</v>
          </cell>
          <cell r="F1179" t="str">
            <v>25</v>
          </cell>
          <cell r="G1179" t="str">
            <v>25</v>
          </cell>
          <cell r="H1179" t="str">
            <v>3</v>
          </cell>
          <cell r="K1179">
            <v>100</v>
          </cell>
          <cell r="L1179">
            <v>143</v>
          </cell>
          <cell r="M1179" t="str">
            <v>99.04.40.024.0</v>
          </cell>
          <cell r="O1179" t="str">
            <v>A36</v>
          </cell>
          <cell r="P1179" t="str">
            <v>S</v>
          </cell>
        </row>
        <row r="1180">
          <cell r="A1180">
            <v>1179</v>
          </cell>
          <cell r="B1180" t="str">
            <v>"L" PERFIL ANGULAR LAMINADO A36 SOBRANTE</v>
          </cell>
          <cell r="C1180" t="str">
            <v>L 25x4</v>
          </cell>
          <cell r="D1180">
            <v>1.45</v>
          </cell>
          <cell r="E1180">
            <v>1.45</v>
          </cell>
          <cell r="F1180" t="str">
            <v>25</v>
          </cell>
          <cell r="G1180" t="str">
            <v>25</v>
          </cell>
          <cell r="H1180" t="str">
            <v>4</v>
          </cell>
          <cell r="K1180">
            <v>100</v>
          </cell>
          <cell r="L1180">
            <v>186</v>
          </cell>
          <cell r="M1180" t="str">
            <v>99.04.40.030.0</v>
          </cell>
          <cell r="O1180" t="str">
            <v>A36</v>
          </cell>
          <cell r="P1180" t="str">
            <v>S</v>
          </cell>
        </row>
        <row r="1181">
          <cell r="A1181">
            <v>1180</v>
          </cell>
          <cell r="B1181" t="str">
            <v>"L" PERFIL ANGULAR LAMINADO A36 SOBRANTE</v>
          </cell>
          <cell r="C1181" t="str">
            <v>L 30x3</v>
          </cell>
          <cell r="D1181">
            <v>1.36</v>
          </cell>
          <cell r="E1181">
            <v>1.36</v>
          </cell>
          <cell r="F1181" t="str">
            <v>30</v>
          </cell>
          <cell r="G1181" t="str">
            <v>30</v>
          </cell>
          <cell r="H1181" t="str">
            <v>3</v>
          </cell>
          <cell r="K1181">
            <v>120</v>
          </cell>
          <cell r="L1181">
            <v>174</v>
          </cell>
          <cell r="M1181" t="str">
            <v>99.04.40.042.0</v>
          </cell>
          <cell r="O1181" t="str">
            <v>A36</v>
          </cell>
          <cell r="P1181" t="str">
            <v>S</v>
          </cell>
        </row>
        <row r="1182">
          <cell r="A1182">
            <v>1181</v>
          </cell>
          <cell r="B1182" t="str">
            <v>"L" PERFIL ANGULAR LAMINADO A36 SOBRANTE</v>
          </cell>
          <cell r="C1182" t="str">
            <v>L 30x4</v>
          </cell>
          <cell r="D1182">
            <v>1.78</v>
          </cell>
          <cell r="E1182">
            <v>1.78</v>
          </cell>
          <cell r="F1182" t="str">
            <v>30</v>
          </cell>
          <cell r="G1182" t="str">
            <v>30</v>
          </cell>
          <cell r="H1182" t="str">
            <v>4</v>
          </cell>
          <cell r="K1182">
            <v>120</v>
          </cell>
          <cell r="L1182">
            <v>227</v>
          </cell>
          <cell r="M1182" t="str">
            <v>99.04.40.048.0</v>
          </cell>
          <cell r="O1182" t="str">
            <v>A36</v>
          </cell>
          <cell r="P1182" t="str">
            <v>S</v>
          </cell>
        </row>
        <row r="1183">
          <cell r="A1183">
            <v>1182</v>
          </cell>
          <cell r="B1183" t="str">
            <v>"L" PERFIL ANGULAR LAMINADO A36 SOBRANTE</v>
          </cell>
          <cell r="C1183" t="str">
            <v>L 40x3</v>
          </cell>
          <cell r="D1183">
            <v>1.84</v>
          </cell>
          <cell r="E1183">
            <v>1.84</v>
          </cell>
          <cell r="F1183" t="str">
            <v>40</v>
          </cell>
          <cell r="G1183" t="str">
            <v>40</v>
          </cell>
          <cell r="H1183" t="str">
            <v>3</v>
          </cell>
          <cell r="K1183">
            <v>160</v>
          </cell>
          <cell r="L1183">
            <v>235</v>
          </cell>
          <cell r="M1183" t="str">
            <v>99.04.40.066.01</v>
          </cell>
          <cell r="O1183" t="str">
            <v>A36</v>
          </cell>
          <cell r="P1183" t="str">
            <v>S</v>
          </cell>
        </row>
        <row r="1184">
          <cell r="A1184">
            <v>1183</v>
          </cell>
          <cell r="B1184" t="str">
            <v>"L" PERFIL ANGULAR LAMINADO A36 SOBRANTE</v>
          </cell>
          <cell r="C1184" t="str">
            <v>L 40x4</v>
          </cell>
          <cell r="D1184">
            <v>2.42</v>
          </cell>
          <cell r="E1184">
            <v>2.42</v>
          </cell>
          <cell r="F1184" t="str">
            <v>40</v>
          </cell>
          <cell r="G1184" t="str">
            <v>40</v>
          </cell>
          <cell r="H1184" t="str">
            <v>4</v>
          </cell>
          <cell r="K1184">
            <v>160</v>
          </cell>
          <cell r="L1184">
            <v>308</v>
          </cell>
          <cell r="M1184" t="str">
            <v>99.04.40.072.01</v>
          </cell>
          <cell r="O1184" t="str">
            <v>A36</v>
          </cell>
          <cell r="P1184" t="str">
            <v>S</v>
          </cell>
        </row>
        <row r="1185">
          <cell r="A1185">
            <v>1184</v>
          </cell>
          <cell r="B1185" t="str">
            <v>"L" PERFIL ANGULAR LAMINADO A36 SOBRANTE</v>
          </cell>
          <cell r="C1185" t="str">
            <v>L 40x5</v>
          </cell>
          <cell r="D1185">
            <v>2.97</v>
          </cell>
          <cell r="E1185">
            <v>2.97</v>
          </cell>
          <cell r="F1185" t="str">
            <v>40</v>
          </cell>
          <cell r="G1185" t="str">
            <v>40</v>
          </cell>
          <cell r="H1185" t="str">
            <v>5</v>
          </cell>
          <cell r="K1185">
            <v>160</v>
          </cell>
          <cell r="L1185">
            <v>379</v>
          </cell>
          <cell r="O1185" t="str">
            <v>A36</v>
          </cell>
          <cell r="P1185" t="str">
            <v>N</v>
          </cell>
        </row>
        <row r="1186">
          <cell r="A1186">
            <v>1185</v>
          </cell>
          <cell r="B1186" t="str">
            <v>"L" PERFIL ANGULAR LAMINADO A36 SOBRANTE</v>
          </cell>
          <cell r="C1186" t="str">
            <v>L 40x6</v>
          </cell>
          <cell r="D1186">
            <v>3.52</v>
          </cell>
          <cell r="E1186">
            <v>3.52</v>
          </cell>
          <cell r="F1186" t="str">
            <v>40</v>
          </cell>
          <cell r="G1186" t="str">
            <v>40</v>
          </cell>
          <cell r="H1186" t="str">
            <v>6</v>
          </cell>
          <cell r="K1186">
            <v>160</v>
          </cell>
          <cell r="L1186">
            <v>448.00000000000006</v>
          </cell>
          <cell r="M1186" t="str">
            <v>99.04.40.084.0</v>
          </cell>
          <cell r="O1186" t="str">
            <v>A36</v>
          </cell>
          <cell r="P1186" t="str">
            <v>N</v>
          </cell>
        </row>
        <row r="1187">
          <cell r="A1187">
            <v>1186</v>
          </cell>
          <cell r="B1187" t="str">
            <v>"L" PERFIL ANGULAR LAMINADO A36 SOBRANTE</v>
          </cell>
          <cell r="C1187" t="str">
            <v>L 50x3</v>
          </cell>
          <cell r="D1187">
            <v>2.36</v>
          </cell>
          <cell r="E1187">
            <v>2.36</v>
          </cell>
          <cell r="F1187" t="str">
            <v>50</v>
          </cell>
          <cell r="G1187" t="str">
            <v>50</v>
          </cell>
          <cell r="H1187" t="str">
            <v>3</v>
          </cell>
          <cell r="K1187">
            <v>200</v>
          </cell>
          <cell r="L1187">
            <v>296</v>
          </cell>
          <cell r="M1187" t="str">
            <v>99.04.40.108.01</v>
          </cell>
          <cell r="O1187" t="str">
            <v>A36</v>
          </cell>
          <cell r="P1187" t="str">
            <v>S</v>
          </cell>
        </row>
        <row r="1188">
          <cell r="A1188">
            <v>1187</v>
          </cell>
          <cell r="B1188" t="str">
            <v>"L" PERFIL ANGULAR LAMINADO A36 SOBRANTE</v>
          </cell>
          <cell r="C1188" t="str">
            <v>L 50x4</v>
          </cell>
          <cell r="D1188">
            <v>3.06</v>
          </cell>
          <cell r="E1188">
            <v>3.06</v>
          </cell>
          <cell r="F1188" t="str">
            <v>50</v>
          </cell>
          <cell r="G1188" t="str">
            <v>50</v>
          </cell>
          <cell r="H1188" t="str">
            <v>4</v>
          </cell>
          <cell r="K1188">
            <v>200</v>
          </cell>
          <cell r="L1188">
            <v>398</v>
          </cell>
          <cell r="M1188" t="str">
            <v>99.04.40.114.5B</v>
          </cell>
          <cell r="O1188" t="str">
            <v>A36</v>
          </cell>
          <cell r="P1188" t="str">
            <v>S</v>
          </cell>
        </row>
        <row r="1189">
          <cell r="A1189">
            <v>1188</v>
          </cell>
          <cell r="B1189" t="str">
            <v>"L" PERFIL ANGULAR LAMINADO A36 SOBRANTE</v>
          </cell>
          <cell r="C1189" t="str">
            <v>L 50x5</v>
          </cell>
          <cell r="D1189">
            <v>3.77</v>
          </cell>
          <cell r="E1189">
            <v>3.77</v>
          </cell>
          <cell r="F1189" t="str">
            <v>50</v>
          </cell>
          <cell r="G1189" t="str">
            <v>50</v>
          </cell>
          <cell r="H1189" t="str">
            <v>5</v>
          </cell>
          <cell r="K1189">
            <v>200</v>
          </cell>
          <cell r="L1189">
            <v>480</v>
          </cell>
          <cell r="M1189" t="str">
            <v>99.04.40.120.01</v>
          </cell>
          <cell r="O1189" t="str">
            <v>A36</v>
          </cell>
          <cell r="P1189" t="str">
            <v>S</v>
          </cell>
        </row>
        <row r="1190">
          <cell r="A1190">
            <v>1189</v>
          </cell>
          <cell r="B1190" t="str">
            <v>"L" PERFIL ANGULAR LAMINADO A36 SOBRANTE</v>
          </cell>
          <cell r="C1190" t="str">
            <v>L 50x6</v>
          </cell>
          <cell r="D1190">
            <v>4.47</v>
          </cell>
          <cell r="E1190">
            <v>4.47</v>
          </cell>
          <cell r="F1190" t="str">
            <v>50</v>
          </cell>
          <cell r="G1190" t="str">
            <v>50</v>
          </cell>
          <cell r="H1190" t="str">
            <v>6</v>
          </cell>
          <cell r="K1190">
            <v>200</v>
          </cell>
          <cell r="L1190">
            <v>569</v>
          </cell>
          <cell r="M1190" t="str">
            <v>99.04.40.126.01</v>
          </cell>
          <cell r="O1190" t="str">
            <v>A36</v>
          </cell>
          <cell r="P1190" t="str">
            <v>S</v>
          </cell>
        </row>
        <row r="1191">
          <cell r="A1191">
            <v>1190</v>
          </cell>
          <cell r="B1191" t="str">
            <v>"L" PERFIL ANGULAR LAMINADO A36 SOBRANTE</v>
          </cell>
          <cell r="C1191" t="str">
            <v>L 60x5</v>
          </cell>
          <cell r="D1191">
            <v>4.57</v>
          </cell>
          <cell r="E1191">
            <v>4.57</v>
          </cell>
          <cell r="F1191" t="str">
            <v>60</v>
          </cell>
          <cell r="G1191" t="str">
            <v>60</v>
          </cell>
          <cell r="H1191" t="str">
            <v>5</v>
          </cell>
          <cell r="K1191">
            <v>240</v>
          </cell>
          <cell r="L1191">
            <v>582</v>
          </cell>
          <cell r="O1191" t="str">
            <v>A36</v>
          </cell>
          <cell r="P1191" t="str">
            <v>N</v>
          </cell>
        </row>
        <row r="1192">
          <cell r="A1192">
            <v>1191</v>
          </cell>
          <cell r="B1192" t="str">
            <v>"L" PERFIL ANGULAR LAMINADO A36 SOBRANTE</v>
          </cell>
          <cell r="C1192" t="str">
            <v>L 60x6</v>
          </cell>
          <cell r="D1192">
            <v>5.4233333333333329</v>
          </cell>
          <cell r="E1192">
            <v>5.4233333333333329</v>
          </cell>
          <cell r="F1192" t="str">
            <v>60</v>
          </cell>
          <cell r="G1192" t="str">
            <v>60</v>
          </cell>
          <cell r="H1192" t="str">
            <v>6</v>
          </cell>
          <cell r="K1192">
            <v>240</v>
          </cell>
          <cell r="L1192">
            <v>691</v>
          </cell>
          <cell r="O1192" t="str">
            <v>A36</v>
          </cell>
          <cell r="P1192" t="str">
            <v>N</v>
          </cell>
        </row>
        <row r="1193">
          <cell r="A1193">
            <v>1192</v>
          </cell>
          <cell r="B1193" t="str">
            <v>"L" PERFIL ANGULAR LAMINADO A36 SOBRANTE</v>
          </cell>
          <cell r="C1193" t="str">
            <v>L 65x5</v>
          </cell>
          <cell r="D1193">
            <v>4.95</v>
          </cell>
          <cell r="E1193">
            <v>4.95</v>
          </cell>
          <cell r="F1193" t="str">
            <v>65</v>
          </cell>
          <cell r="G1193" t="str">
            <v>65</v>
          </cell>
          <cell r="H1193" t="str">
            <v>5</v>
          </cell>
          <cell r="K1193">
            <v>260</v>
          </cell>
          <cell r="L1193">
            <v>625</v>
          </cell>
          <cell r="O1193" t="str">
            <v>A36</v>
          </cell>
          <cell r="P1193" t="str">
            <v>AE</v>
          </cell>
        </row>
        <row r="1194">
          <cell r="A1194">
            <v>1193</v>
          </cell>
          <cell r="B1194" t="str">
            <v>"L" PERFIL ANGULAR LAMINADO A36 SOBRANTE</v>
          </cell>
          <cell r="C1194" t="str">
            <v>L 65x6</v>
          </cell>
          <cell r="D1194">
            <v>5.91</v>
          </cell>
          <cell r="E1194">
            <v>5.91</v>
          </cell>
          <cell r="F1194" t="str">
            <v>65</v>
          </cell>
          <cell r="G1194" t="str">
            <v>65</v>
          </cell>
          <cell r="H1194" t="str">
            <v>6</v>
          </cell>
          <cell r="K1194">
            <v>260</v>
          </cell>
          <cell r="L1194">
            <v>744</v>
          </cell>
          <cell r="M1194" t="str">
            <v>99.04.40.180.01</v>
          </cell>
          <cell r="O1194" t="str">
            <v>A36</v>
          </cell>
          <cell r="P1194" t="str">
            <v>AE</v>
          </cell>
        </row>
        <row r="1195">
          <cell r="A1195">
            <v>1194</v>
          </cell>
          <cell r="B1195" t="str">
            <v>"L" PERFIL ANGULAR LAMINADO A36 SOBRANTE</v>
          </cell>
          <cell r="C1195" t="str">
            <v>L 70x6</v>
          </cell>
          <cell r="D1195">
            <v>6.38</v>
          </cell>
          <cell r="E1195">
            <v>6.38</v>
          </cell>
          <cell r="F1195" t="str">
            <v>70</v>
          </cell>
          <cell r="G1195" t="str">
            <v>70</v>
          </cell>
          <cell r="H1195" t="str">
            <v>6</v>
          </cell>
          <cell r="K1195">
            <v>280</v>
          </cell>
          <cell r="L1195">
            <v>813.00000000000011</v>
          </cell>
          <cell r="O1195" t="str">
            <v>A36</v>
          </cell>
          <cell r="P1195" t="str">
            <v>N</v>
          </cell>
        </row>
        <row r="1196">
          <cell r="A1196">
            <v>1195</v>
          </cell>
          <cell r="B1196" t="str">
            <v>"L" PERFIL ANGULAR LAMINADO A36 SOBRANTE</v>
          </cell>
          <cell r="C1196" t="str">
            <v>L 75x6</v>
          </cell>
          <cell r="D1196">
            <v>6.85</v>
          </cell>
          <cell r="E1196">
            <v>6.85</v>
          </cell>
          <cell r="F1196" t="str">
            <v>75</v>
          </cell>
          <cell r="G1196" t="str">
            <v>75</v>
          </cell>
          <cell r="H1196" t="str">
            <v>6</v>
          </cell>
          <cell r="K1196">
            <v>300</v>
          </cell>
          <cell r="L1196">
            <v>866</v>
          </cell>
          <cell r="O1196" t="str">
            <v>A36</v>
          </cell>
          <cell r="P1196" t="str">
            <v>S</v>
          </cell>
        </row>
        <row r="1197">
          <cell r="A1197">
            <v>1196</v>
          </cell>
          <cell r="B1197" t="str">
            <v>"L" PERFIL ANGULAR LAMINADO A36 SOBRANTE</v>
          </cell>
          <cell r="C1197" t="str">
            <v>L 75x8</v>
          </cell>
          <cell r="D1197">
            <v>9.0299999999999994</v>
          </cell>
          <cell r="E1197">
            <v>9.0299999999999994</v>
          </cell>
          <cell r="F1197" t="str">
            <v>75</v>
          </cell>
          <cell r="G1197" t="str">
            <v>75</v>
          </cell>
          <cell r="H1197" t="str">
            <v>8</v>
          </cell>
          <cell r="K1197">
            <v>300</v>
          </cell>
          <cell r="L1197">
            <v>1136</v>
          </cell>
          <cell r="M1197" t="str">
            <v>99.04.40.246.01</v>
          </cell>
          <cell r="O1197" t="str">
            <v>A36</v>
          </cell>
          <cell r="P1197" t="str">
            <v>S</v>
          </cell>
        </row>
        <row r="1198">
          <cell r="A1198">
            <v>1197</v>
          </cell>
          <cell r="B1198" t="str">
            <v>"L" PERFIL ANGULAR LAMINADO A36 SOBRANTE</v>
          </cell>
          <cell r="C1198" t="str">
            <v>L 100x6</v>
          </cell>
          <cell r="D1198">
            <v>9.3000000000000007</v>
          </cell>
          <cell r="E1198">
            <v>9.3000000000000007</v>
          </cell>
          <cell r="F1198" t="str">
            <v>100</v>
          </cell>
          <cell r="G1198" t="str">
            <v>100</v>
          </cell>
          <cell r="H1198" t="str">
            <v>6</v>
          </cell>
          <cell r="K1198">
            <v>400</v>
          </cell>
          <cell r="L1198">
            <v>1175</v>
          </cell>
          <cell r="O1198" t="str">
            <v>A36</v>
          </cell>
          <cell r="P1198" t="str">
            <v>S</v>
          </cell>
        </row>
        <row r="1199">
          <cell r="A1199">
            <v>1198</v>
          </cell>
          <cell r="B1199" t="str">
            <v>"L" PERFIL ANGULAR LAMINADO A36 SOBRANTE</v>
          </cell>
          <cell r="C1199" t="str">
            <v>L 100x8</v>
          </cell>
          <cell r="D1199">
            <v>12.200000000000001</v>
          </cell>
          <cell r="E1199">
            <v>12.200000000000001</v>
          </cell>
          <cell r="F1199" t="str">
            <v>100</v>
          </cell>
          <cell r="G1199" t="str">
            <v>100</v>
          </cell>
          <cell r="H1199" t="str">
            <v>8</v>
          </cell>
          <cell r="K1199">
            <v>400</v>
          </cell>
          <cell r="L1199">
            <v>1550</v>
          </cell>
          <cell r="O1199" t="str">
            <v>A36</v>
          </cell>
          <cell r="P1199" t="str">
            <v>S</v>
          </cell>
        </row>
        <row r="1200">
          <cell r="A1200">
            <v>1199</v>
          </cell>
          <cell r="B1200" t="str">
            <v>"L" PERFIL ANGULAR LAMINADO A36 SOBRANTE</v>
          </cell>
          <cell r="C1200" t="str">
            <v>L 100x10</v>
          </cell>
          <cell r="D1200">
            <v>15.1</v>
          </cell>
          <cell r="E1200">
            <v>15.1</v>
          </cell>
          <cell r="F1200" t="str">
            <v>100</v>
          </cell>
          <cell r="G1200" t="str">
            <v>100</v>
          </cell>
          <cell r="H1200" t="str">
            <v>10</v>
          </cell>
          <cell r="K1200">
            <v>400</v>
          </cell>
          <cell r="L1200">
            <v>1920</v>
          </cell>
          <cell r="O1200" t="str">
            <v>A36</v>
          </cell>
          <cell r="P1200" t="str">
            <v>S</v>
          </cell>
        </row>
        <row r="1201">
          <cell r="A1201">
            <v>1200</v>
          </cell>
          <cell r="B1201" t="str">
            <v>"L" PERFIL ANGULAR LAMINADO A36 SOBRANTE</v>
          </cell>
          <cell r="C1201" t="str">
            <v>L 100x12</v>
          </cell>
          <cell r="D1201">
            <v>17.8</v>
          </cell>
          <cell r="E1201">
            <v>17.8</v>
          </cell>
          <cell r="F1201" t="str">
            <v>100</v>
          </cell>
          <cell r="G1201" t="str">
            <v>100</v>
          </cell>
          <cell r="H1201" t="str">
            <v>12</v>
          </cell>
          <cell r="K1201">
            <v>400</v>
          </cell>
          <cell r="L1201">
            <v>2270</v>
          </cell>
          <cell r="O1201" t="str">
            <v>A36</v>
          </cell>
          <cell r="P1201" t="str">
            <v>S</v>
          </cell>
        </row>
        <row r="1202">
          <cell r="A1202">
            <v>1201</v>
          </cell>
          <cell r="B1202" t="str">
            <v>PLACA CORRUGADA 1220x2440</v>
          </cell>
          <cell r="C1202" t="str">
            <v>PLE 4 mm corrugada</v>
          </cell>
          <cell r="D1202">
            <v>34.54</v>
          </cell>
          <cell r="E1202">
            <v>34.54</v>
          </cell>
          <cell r="M1202" t="str">
            <v>12.54.46.290.00</v>
          </cell>
          <cell r="O1202" t="str">
            <v>A36</v>
          </cell>
          <cell r="P1202" t="str">
            <v>S</v>
          </cell>
        </row>
        <row r="1203">
          <cell r="A1203">
            <v>1202</v>
          </cell>
          <cell r="B1203" t="str">
            <v>"L" PERFIL ANGULAR LAMINADO A36</v>
          </cell>
          <cell r="C1203" t="str">
            <v>L 25x3</v>
          </cell>
          <cell r="D1203">
            <v>1.1199999999999999</v>
          </cell>
          <cell r="E1203">
            <v>1.1199999999999999</v>
          </cell>
          <cell r="F1203" t="str">
            <v>25</v>
          </cell>
          <cell r="G1203" t="str">
            <v>25</v>
          </cell>
          <cell r="H1203" t="str">
            <v>3</v>
          </cell>
          <cell r="K1203">
            <v>100</v>
          </cell>
          <cell r="L1203">
            <v>143</v>
          </cell>
          <cell r="M1203" t="str">
            <v>12.04.40.024.00</v>
          </cell>
          <cell r="N1203">
            <v>6000</v>
          </cell>
          <cell r="O1203" t="str">
            <v>A36</v>
          </cell>
          <cell r="P1203" t="str">
            <v>S</v>
          </cell>
        </row>
        <row r="1204">
          <cell r="A1204">
            <v>1203</v>
          </cell>
          <cell r="B1204" t="str">
            <v>"L" PERFIL ANGULAR LAMINADO A36</v>
          </cell>
          <cell r="C1204" t="str">
            <v>L 25x4</v>
          </cell>
          <cell r="D1204">
            <v>1.45</v>
          </cell>
          <cell r="E1204">
            <v>1.45</v>
          </cell>
          <cell r="F1204" t="str">
            <v>25</v>
          </cell>
          <cell r="G1204" t="str">
            <v>25</v>
          </cell>
          <cell r="H1204" t="str">
            <v>4</v>
          </cell>
          <cell r="K1204">
            <v>100</v>
          </cell>
          <cell r="L1204">
            <v>186</v>
          </cell>
          <cell r="M1204" t="str">
            <v>12.04.40.030.00</v>
          </cell>
          <cell r="N1204">
            <v>6000</v>
          </cell>
          <cell r="O1204" t="str">
            <v>A36</v>
          </cell>
          <cell r="P1204" t="str">
            <v>S</v>
          </cell>
        </row>
        <row r="1205">
          <cell r="A1205">
            <v>1204</v>
          </cell>
          <cell r="B1205" t="str">
            <v>"L" PERFIL ANGULAR LAMINADO A36</v>
          </cell>
          <cell r="C1205" t="str">
            <v>L 30x3</v>
          </cell>
          <cell r="D1205">
            <v>1.36</v>
          </cell>
          <cell r="E1205">
            <v>1.36</v>
          </cell>
          <cell r="F1205" t="str">
            <v>30</v>
          </cell>
          <cell r="G1205" t="str">
            <v>30</v>
          </cell>
          <cell r="H1205" t="str">
            <v>3</v>
          </cell>
          <cell r="K1205">
            <v>120</v>
          </cell>
          <cell r="L1205">
            <v>174</v>
          </cell>
          <cell r="M1205" t="str">
            <v>12.04.40.042.00</v>
          </cell>
          <cell r="N1205">
            <v>6000</v>
          </cell>
          <cell r="O1205" t="str">
            <v>A36</v>
          </cell>
          <cell r="P1205" t="str">
            <v>S</v>
          </cell>
        </row>
        <row r="1206">
          <cell r="A1206">
            <v>1205</v>
          </cell>
          <cell r="B1206" t="str">
            <v>"L" PERFIL ANGULAR LAMINADO A36</v>
          </cell>
          <cell r="C1206" t="str">
            <v>L 30x4</v>
          </cell>
          <cell r="D1206">
            <v>1.78</v>
          </cell>
          <cell r="E1206">
            <v>1.78</v>
          </cell>
          <cell r="F1206" t="str">
            <v>30</v>
          </cell>
          <cell r="G1206" t="str">
            <v>30</v>
          </cell>
          <cell r="H1206" t="str">
            <v>4</v>
          </cell>
          <cell r="K1206">
            <v>120</v>
          </cell>
          <cell r="L1206">
            <v>227</v>
          </cell>
          <cell r="M1206" t="str">
            <v>12.04.40.048.00</v>
          </cell>
          <cell r="N1206">
            <v>6000</v>
          </cell>
          <cell r="O1206" t="str">
            <v>A36</v>
          </cell>
          <cell r="P1206" t="str">
            <v>S</v>
          </cell>
        </row>
        <row r="1207">
          <cell r="A1207">
            <v>1206</v>
          </cell>
          <cell r="B1207" t="str">
            <v>"L" PERFIL ANGULAR LAMINADO A36</v>
          </cell>
          <cell r="C1207" t="str">
            <v>L 40x3</v>
          </cell>
          <cell r="D1207">
            <v>1.84</v>
          </cell>
          <cell r="E1207">
            <v>1.84</v>
          </cell>
          <cell r="F1207" t="str">
            <v>40</v>
          </cell>
          <cell r="G1207" t="str">
            <v>40</v>
          </cell>
          <cell r="H1207" t="str">
            <v>3</v>
          </cell>
          <cell r="K1207">
            <v>160</v>
          </cell>
          <cell r="L1207">
            <v>235</v>
          </cell>
          <cell r="M1207" t="str">
            <v>12.04.40.066.03</v>
          </cell>
          <cell r="N1207">
            <v>6000</v>
          </cell>
          <cell r="O1207" t="str">
            <v>A36</v>
          </cell>
          <cell r="P1207" t="str">
            <v>S</v>
          </cell>
        </row>
        <row r="1208">
          <cell r="A1208">
            <v>1207</v>
          </cell>
          <cell r="B1208" t="str">
            <v>"L" PERFIL ANGULAR LAMINADO A36</v>
          </cell>
          <cell r="C1208" t="str">
            <v>L 40x4</v>
          </cell>
          <cell r="D1208">
            <v>2.42</v>
          </cell>
          <cell r="E1208">
            <v>2.42</v>
          </cell>
          <cell r="F1208" t="str">
            <v>40</v>
          </cell>
          <cell r="G1208" t="str">
            <v>40</v>
          </cell>
          <cell r="H1208" t="str">
            <v>4</v>
          </cell>
          <cell r="K1208">
            <v>160</v>
          </cell>
          <cell r="L1208">
            <v>308</v>
          </cell>
          <cell r="M1208" t="str">
            <v>12.04.40.072.02</v>
          </cell>
          <cell r="N1208">
            <v>6000</v>
          </cell>
          <cell r="O1208" t="str">
            <v>A36</v>
          </cell>
          <cell r="P1208" t="str">
            <v>S</v>
          </cell>
        </row>
        <row r="1209">
          <cell r="A1209">
            <v>1208</v>
          </cell>
          <cell r="B1209" t="str">
            <v>"L" PERFIL ANGULAR LAMINADO A36</v>
          </cell>
          <cell r="C1209" t="str">
            <v>L 40x5</v>
          </cell>
          <cell r="D1209">
            <v>2.97</v>
          </cell>
          <cell r="E1209">
            <v>2.97</v>
          </cell>
          <cell r="F1209" t="str">
            <v>40</v>
          </cell>
          <cell r="G1209" t="str">
            <v>40</v>
          </cell>
          <cell r="H1209" t="str">
            <v>5</v>
          </cell>
          <cell r="K1209">
            <v>160</v>
          </cell>
          <cell r="L1209">
            <v>379</v>
          </cell>
          <cell r="O1209" t="str">
            <v>A36</v>
          </cell>
          <cell r="P1209" t="str">
            <v>N</v>
          </cell>
        </row>
        <row r="1210">
          <cell r="A1210">
            <v>1209</v>
          </cell>
          <cell r="B1210" t="str">
            <v>"L" PERFIL ANGULAR LAMINADO A36</v>
          </cell>
          <cell r="C1210" t="str">
            <v>L 40x6</v>
          </cell>
          <cell r="D1210">
            <v>3.52</v>
          </cell>
          <cell r="E1210">
            <v>3.52</v>
          </cell>
          <cell r="F1210" t="str">
            <v>40</v>
          </cell>
          <cell r="G1210" t="str">
            <v>40</v>
          </cell>
          <cell r="H1210" t="str">
            <v>6</v>
          </cell>
          <cell r="K1210">
            <v>160</v>
          </cell>
          <cell r="L1210">
            <v>448.00000000000006</v>
          </cell>
          <cell r="M1210" t="str">
            <v>12.04.40.084.00</v>
          </cell>
          <cell r="N1210">
            <v>6000</v>
          </cell>
          <cell r="O1210" t="str">
            <v>A36</v>
          </cell>
          <cell r="P1210" t="str">
            <v>N</v>
          </cell>
        </row>
        <row r="1211">
          <cell r="A1211">
            <v>1210</v>
          </cell>
          <cell r="B1211" t="str">
            <v>"L" PERFIL ANGULAR LAMINADO A36</v>
          </cell>
          <cell r="C1211" t="str">
            <v>L 50x3</v>
          </cell>
          <cell r="D1211">
            <v>2.36</v>
          </cell>
          <cell r="E1211">
            <v>2.36</v>
          </cell>
          <cell r="F1211" t="str">
            <v>50</v>
          </cell>
          <cell r="G1211" t="str">
            <v>50</v>
          </cell>
          <cell r="H1211" t="str">
            <v>3</v>
          </cell>
          <cell r="K1211">
            <v>200</v>
          </cell>
          <cell r="L1211">
            <v>296</v>
          </cell>
          <cell r="M1211" t="str">
            <v>12.04.40.108.01</v>
          </cell>
          <cell r="N1211">
            <v>6000</v>
          </cell>
          <cell r="O1211" t="str">
            <v>A36</v>
          </cell>
          <cell r="P1211" t="str">
            <v>S</v>
          </cell>
        </row>
        <row r="1212">
          <cell r="A1212">
            <v>1211</v>
          </cell>
          <cell r="B1212" t="str">
            <v>"L" PERFIL ANGULAR LAMINADO A36</v>
          </cell>
          <cell r="C1212" t="str">
            <v>L 50x4</v>
          </cell>
          <cell r="D1212">
            <v>3.06</v>
          </cell>
          <cell r="E1212">
            <v>3.06</v>
          </cell>
          <cell r="F1212" t="str">
            <v>50</v>
          </cell>
          <cell r="G1212" t="str">
            <v>50</v>
          </cell>
          <cell r="H1212" t="str">
            <v>4</v>
          </cell>
          <cell r="K1212">
            <v>200</v>
          </cell>
          <cell r="L1212">
            <v>398</v>
          </cell>
          <cell r="M1212" t="str">
            <v>12.04.40.114.01</v>
          </cell>
          <cell r="N1212">
            <v>6000</v>
          </cell>
          <cell r="O1212" t="str">
            <v>A36</v>
          </cell>
          <cell r="P1212" t="str">
            <v>S</v>
          </cell>
        </row>
        <row r="1213">
          <cell r="A1213">
            <v>1212</v>
          </cell>
          <cell r="B1213" t="str">
            <v>"L" PERFIL ANGULAR LAMINADO A36</v>
          </cell>
          <cell r="C1213" t="str">
            <v>L 50x5</v>
          </cell>
          <cell r="D1213">
            <v>3.77</v>
          </cell>
          <cell r="E1213">
            <v>3.77</v>
          </cell>
          <cell r="F1213" t="str">
            <v>50</v>
          </cell>
          <cell r="G1213" t="str">
            <v>50</v>
          </cell>
          <cell r="H1213" t="str">
            <v>5</v>
          </cell>
          <cell r="K1213">
            <v>200</v>
          </cell>
          <cell r="L1213">
            <v>480</v>
          </cell>
          <cell r="M1213" t="str">
            <v>12.04.40.120.01</v>
          </cell>
          <cell r="N1213">
            <v>6000</v>
          </cell>
          <cell r="O1213" t="str">
            <v>A36</v>
          </cell>
          <cell r="P1213" t="str">
            <v>S</v>
          </cell>
        </row>
        <row r="1214">
          <cell r="A1214">
            <v>1213</v>
          </cell>
          <cell r="B1214" t="str">
            <v>"L" PERFIL ANGULAR LAMINADO A36</v>
          </cell>
          <cell r="C1214" t="str">
            <v>L 50x6</v>
          </cell>
          <cell r="D1214">
            <v>4.47</v>
          </cell>
          <cell r="E1214">
            <v>4.47</v>
          </cell>
          <cell r="F1214" t="str">
            <v>50</v>
          </cell>
          <cell r="G1214" t="str">
            <v>50</v>
          </cell>
          <cell r="H1214" t="str">
            <v>6</v>
          </cell>
          <cell r="K1214">
            <v>200</v>
          </cell>
          <cell r="L1214">
            <v>569</v>
          </cell>
          <cell r="M1214" t="str">
            <v>12.04.40.126.02</v>
          </cell>
          <cell r="N1214">
            <v>6000</v>
          </cell>
          <cell r="O1214" t="str">
            <v>A36</v>
          </cell>
          <cell r="P1214" t="str">
            <v>S</v>
          </cell>
        </row>
        <row r="1215">
          <cell r="A1215">
            <v>1214</v>
          </cell>
          <cell r="B1215" t="str">
            <v>"L" PERFIL ANGULAR LAMINADO A36</v>
          </cell>
          <cell r="C1215" t="str">
            <v>L 60x5</v>
          </cell>
          <cell r="D1215">
            <v>4.57</v>
          </cell>
          <cell r="E1215">
            <v>4.57</v>
          </cell>
          <cell r="F1215" t="str">
            <v>60</v>
          </cell>
          <cell r="G1215" t="str">
            <v>60</v>
          </cell>
          <cell r="H1215" t="str">
            <v>5</v>
          </cell>
          <cell r="K1215">
            <v>240</v>
          </cell>
          <cell r="L1215">
            <v>582</v>
          </cell>
          <cell r="O1215" t="str">
            <v>A36</v>
          </cell>
          <cell r="P1215" t="str">
            <v>N</v>
          </cell>
        </row>
        <row r="1216">
          <cell r="A1216">
            <v>1215</v>
          </cell>
          <cell r="B1216" t="str">
            <v>"L" PERFIL ANGULAR LAMINADO A36</v>
          </cell>
          <cell r="C1216" t="str">
            <v>L 60x6</v>
          </cell>
          <cell r="D1216">
            <v>5.4233333333333329</v>
          </cell>
          <cell r="E1216">
            <v>5.4233333333333329</v>
          </cell>
          <cell r="F1216" t="str">
            <v>60</v>
          </cell>
          <cell r="G1216" t="str">
            <v>60</v>
          </cell>
          <cell r="H1216" t="str">
            <v>6</v>
          </cell>
          <cell r="K1216">
            <v>240</v>
          </cell>
          <cell r="L1216">
            <v>691</v>
          </cell>
          <cell r="M1216" t="str">
            <v>12.04.40.162.00</v>
          </cell>
          <cell r="N1216">
            <v>6000</v>
          </cell>
          <cell r="O1216" t="str">
            <v>A36</v>
          </cell>
          <cell r="P1216" t="str">
            <v>N</v>
          </cell>
        </row>
        <row r="1217">
          <cell r="A1217">
            <v>1216</v>
          </cell>
          <cell r="B1217" t="str">
            <v>"L" PERFIL ANGULAR LAMINADO A36</v>
          </cell>
          <cell r="C1217" t="str">
            <v>L 65x5</v>
          </cell>
          <cell r="D1217">
            <v>4.95</v>
          </cell>
          <cell r="E1217">
            <v>4.95</v>
          </cell>
          <cell r="F1217" t="str">
            <v>65</v>
          </cell>
          <cell r="G1217" t="str">
            <v>65</v>
          </cell>
          <cell r="H1217" t="str">
            <v>5</v>
          </cell>
          <cell r="K1217">
            <v>260</v>
          </cell>
          <cell r="L1217">
            <v>625</v>
          </cell>
          <cell r="O1217" t="str">
            <v>A36</v>
          </cell>
          <cell r="P1217" t="str">
            <v>AE</v>
          </cell>
        </row>
        <row r="1218">
          <cell r="A1218">
            <v>1217</v>
          </cell>
          <cell r="B1218" t="str">
            <v>"L" PERFIL ANGULAR LAMINADO A36</v>
          </cell>
          <cell r="C1218" t="str">
            <v>L 65x6</v>
          </cell>
          <cell r="D1218">
            <v>5.91</v>
          </cell>
          <cell r="E1218">
            <v>5.91</v>
          </cell>
          <cell r="F1218" t="str">
            <v>65</v>
          </cell>
          <cell r="G1218" t="str">
            <v>65</v>
          </cell>
          <cell r="H1218" t="str">
            <v>6</v>
          </cell>
          <cell r="K1218">
            <v>260</v>
          </cell>
          <cell r="L1218">
            <v>744</v>
          </cell>
          <cell r="M1218" t="str">
            <v>12.04.40.180.01</v>
          </cell>
          <cell r="O1218" t="str">
            <v>A36</v>
          </cell>
          <cell r="P1218" t="str">
            <v>AE</v>
          </cell>
        </row>
        <row r="1219">
          <cell r="A1219">
            <v>1218</v>
          </cell>
          <cell r="B1219" t="str">
            <v>"L" PERFIL ANGULAR LAMINADO A36</v>
          </cell>
          <cell r="C1219" t="str">
            <v>L 70x6</v>
          </cell>
          <cell r="D1219">
            <v>6.38</v>
          </cell>
          <cell r="E1219">
            <v>6.38</v>
          </cell>
          <cell r="F1219" t="str">
            <v>70</v>
          </cell>
          <cell r="G1219" t="str">
            <v>70</v>
          </cell>
          <cell r="H1219" t="str">
            <v>6</v>
          </cell>
          <cell r="K1219">
            <v>280</v>
          </cell>
          <cell r="L1219">
            <v>813.00000000000011</v>
          </cell>
          <cell r="O1219" t="str">
            <v>A36</v>
          </cell>
          <cell r="P1219" t="str">
            <v>N</v>
          </cell>
        </row>
        <row r="1220">
          <cell r="A1220">
            <v>1219</v>
          </cell>
          <cell r="B1220" t="str">
            <v>"L" PERFIL ANGULAR LAMINADO A36</v>
          </cell>
          <cell r="C1220" t="str">
            <v>L 75x6</v>
          </cell>
          <cell r="D1220">
            <v>6.85</v>
          </cell>
          <cell r="E1220">
            <v>6.85</v>
          </cell>
          <cell r="F1220" t="str">
            <v>75</v>
          </cell>
          <cell r="G1220" t="str">
            <v>75</v>
          </cell>
          <cell r="H1220" t="str">
            <v>6</v>
          </cell>
          <cell r="K1220">
            <v>300</v>
          </cell>
          <cell r="L1220">
            <v>866</v>
          </cell>
          <cell r="M1220" t="str">
            <v>12.04.40.234.01</v>
          </cell>
          <cell r="O1220" t="str">
            <v>A36</v>
          </cell>
          <cell r="P1220" t="str">
            <v>S</v>
          </cell>
        </row>
        <row r="1221">
          <cell r="A1221">
            <v>1220</v>
          </cell>
          <cell r="B1221" t="str">
            <v>"L" PERFIL ANGULAR LAMINADO A36</v>
          </cell>
          <cell r="C1221" t="str">
            <v>L 75x8</v>
          </cell>
          <cell r="D1221">
            <v>9.0299999999999994</v>
          </cell>
          <cell r="E1221">
            <v>9.0299999999999994</v>
          </cell>
          <cell r="F1221" t="str">
            <v>75</v>
          </cell>
          <cell r="G1221" t="str">
            <v>75</v>
          </cell>
          <cell r="H1221" t="str">
            <v>8</v>
          </cell>
          <cell r="K1221">
            <v>300</v>
          </cell>
          <cell r="L1221">
            <v>1136</v>
          </cell>
          <cell r="M1221" t="str">
            <v>12.04.40.246.02</v>
          </cell>
          <cell r="O1221" t="str">
            <v>A36</v>
          </cell>
          <cell r="P1221" t="str">
            <v>S</v>
          </cell>
        </row>
        <row r="1222">
          <cell r="A1222">
            <v>1221</v>
          </cell>
          <cell r="B1222" t="str">
            <v>"L" PERFIL ANGULAR LAMINADO A36</v>
          </cell>
          <cell r="C1222" t="str">
            <v>L 100x6</v>
          </cell>
          <cell r="D1222">
            <v>9.3000000000000007</v>
          </cell>
          <cell r="E1222">
            <v>9.3000000000000007</v>
          </cell>
          <cell r="F1222" t="str">
            <v>100</v>
          </cell>
          <cell r="G1222" t="str">
            <v>100</v>
          </cell>
          <cell r="H1222" t="str">
            <v>6</v>
          </cell>
          <cell r="K1222">
            <v>400</v>
          </cell>
          <cell r="L1222">
            <v>1175</v>
          </cell>
          <cell r="M1222" t="str">
            <v>12.04.40.324.02</v>
          </cell>
          <cell r="O1222" t="str">
            <v>A36</v>
          </cell>
          <cell r="P1222" t="str">
            <v>S</v>
          </cell>
        </row>
        <row r="1223">
          <cell r="A1223">
            <v>1222</v>
          </cell>
          <cell r="B1223" t="str">
            <v>"L" PERFIL ANGULAR LAMINADO A36</v>
          </cell>
          <cell r="C1223" t="str">
            <v>L 100x8</v>
          </cell>
          <cell r="D1223">
            <v>12.200000000000001</v>
          </cell>
          <cell r="E1223">
            <v>12.200000000000001</v>
          </cell>
          <cell r="F1223" t="str">
            <v>100</v>
          </cell>
          <cell r="G1223" t="str">
            <v>100</v>
          </cell>
          <cell r="H1223" t="str">
            <v>8</v>
          </cell>
          <cell r="K1223">
            <v>400</v>
          </cell>
          <cell r="L1223">
            <v>1550</v>
          </cell>
          <cell r="M1223" t="str">
            <v>12.04.40.336.02</v>
          </cell>
          <cell r="O1223" t="str">
            <v>A36</v>
          </cell>
          <cell r="P1223" t="str">
            <v>S</v>
          </cell>
        </row>
        <row r="1224">
          <cell r="A1224">
            <v>1223</v>
          </cell>
          <cell r="B1224" t="str">
            <v>"L" PERFIL ANGULAR LAMINADO A36</v>
          </cell>
          <cell r="C1224" t="str">
            <v>L 100x10</v>
          </cell>
          <cell r="D1224">
            <v>15.1</v>
          </cell>
          <cell r="E1224">
            <v>15.1</v>
          </cell>
          <cell r="F1224" t="str">
            <v>100</v>
          </cell>
          <cell r="G1224" t="str">
            <v>100</v>
          </cell>
          <cell r="H1224" t="str">
            <v>10</v>
          </cell>
          <cell r="K1224">
            <v>400</v>
          </cell>
          <cell r="L1224">
            <v>1920</v>
          </cell>
          <cell r="M1224" t="str">
            <v>12.04.40.342.04</v>
          </cell>
          <cell r="O1224" t="str">
            <v>A36</v>
          </cell>
          <cell r="P1224" t="str">
            <v>S</v>
          </cell>
        </row>
        <row r="1225">
          <cell r="A1225">
            <v>1224</v>
          </cell>
          <cell r="B1225" t="str">
            <v>"L" PERFIL ANGULAR LAMINADO A36</v>
          </cell>
          <cell r="C1225" t="str">
            <v>L 100x12</v>
          </cell>
          <cell r="D1225">
            <v>17.8</v>
          </cell>
          <cell r="E1225">
            <v>17.8</v>
          </cell>
          <cell r="F1225" t="str">
            <v>100</v>
          </cell>
          <cell r="G1225" t="str">
            <v>100</v>
          </cell>
          <cell r="H1225" t="str">
            <v>12</v>
          </cell>
          <cell r="K1225">
            <v>400</v>
          </cell>
          <cell r="L1225">
            <v>2270</v>
          </cell>
          <cell r="O1225" t="str">
            <v>A36</v>
          </cell>
          <cell r="P1225" t="str">
            <v>S</v>
          </cell>
        </row>
        <row r="1226">
          <cell r="A1226">
            <v>1225</v>
          </cell>
          <cell r="B1226" t="str">
            <v>PLACAS ASTM  A572-G50 12220x3000</v>
          </cell>
          <cell r="C1226" t="str">
            <v>PLE 25mm</v>
          </cell>
          <cell r="D1226">
            <v>196.25</v>
          </cell>
          <cell r="E1226">
            <v>196.25</v>
          </cell>
          <cell r="M1226" t="str">
            <v>12.54.52.510.0O</v>
          </cell>
          <cell r="O1226" t="str">
            <v>A572 G50</v>
          </cell>
          <cell r="P1226" t="str">
            <v>S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76"/>
  <sheetViews>
    <sheetView showGridLines="0" tabSelected="1" topLeftCell="C1" zoomScale="130" zoomScaleNormal="130" workbookViewId="0">
      <selection activeCell="J51" sqref="J51"/>
    </sheetView>
  </sheetViews>
  <sheetFormatPr defaultColWidth="11.44140625" defaultRowHeight="10.199999999999999" outlineLevelCol="2" x14ac:dyDescent="0.2"/>
  <cols>
    <col min="1" max="1" width="7.6640625" style="3" hidden="1" customWidth="1" outlineLevel="1"/>
    <col min="2" max="2" width="8.5546875" style="3" hidden="1" customWidth="1" outlineLevel="1"/>
    <col min="3" max="3" width="5.5546875" style="3" customWidth="1" collapsed="1"/>
    <col min="4" max="4" width="12.5546875" style="3" customWidth="1"/>
    <col min="5" max="5" width="17.21875" style="3" bestFit="1" customWidth="1"/>
    <col min="6" max="6" width="12.88671875" style="3" customWidth="1"/>
    <col min="7" max="7" width="22.6640625" style="3" hidden="1" customWidth="1" outlineLevel="1"/>
    <col min="8" max="8" width="7.6640625" style="4" hidden="1" customWidth="1" outlineLevel="2"/>
    <col min="9" max="9" width="14.88671875" style="4" hidden="1" customWidth="1" outlineLevel="2"/>
    <col min="10" max="10" width="9" style="4" customWidth="1" collapsed="1"/>
    <col min="11" max="11" width="9.5546875" style="4" customWidth="1"/>
    <col min="12" max="12" width="7.33203125" style="4" hidden="1" customWidth="1" outlineLevel="1"/>
    <col min="13" max="13" width="10.109375" style="4" hidden="1" customWidth="1" outlineLevel="1"/>
    <col min="14" max="14" width="8.6640625" style="4" hidden="1" customWidth="1" outlineLevel="1"/>
    <col min="15" max="15" width="8" style="4" customWidth="1" collapsed="1"/>
    <col min="16" max="16" width="7.88671875" style="4" customWidth="1"/>
    <col min="17" max="17" width="8.6640625" style="4" hidden="1" customWidth="1" outlineLevel="1"/>
    <col min="18" max="18" width="9.33203125" style="4" customWidth="1" collapsed="1"/>
    <col min="19" max="19" width="9.33203125" style="4" hidden="1" customWidth="1" outlineLevel="1"/>
    <col min="20" max="20" width="10.5546875" style="4" bestFit="1" customWidth="1" collapsed="1"/>
    <col min="21" max="21" width="10.5546875" style="4" hidden="1" customWidth="1"/>
    <col min="22" max="22" width="10.5546875" style="3" hidden="1" customWidth="1"/>
    <col min="23" max="23" width="11.6640625" style="4" hidden="1" customWidth="1" outlineLevel="1"/>
    <col min="24" max="24" width="9" style="4" hidden="1" customWidth="1" outlineLevel="1"/>
    <col min="25" max="26" width="8.6640625" style="4" hidden="1" customWidth="1" outlineLevel="1"/>
    <col min="27" max="27" width="8.88671875" style="4" hidden="1" customWidth="1" outlineLevel="1"/>
    <col min="28" max="28" width="5.6640625" style="4" hidden="1" customWidth="1" outlineLevel="1"/>
    <col min="29" max="29" width="4.88671875" style="4" hidden="1" customWidth="1" outlineLevel="1"/>
    <col min="30" max="30" width="5.109375" style="4" hidden="1" customWidth="1" outlineLevel="1"/>
    <col min="31" max="31" width="5" style="4" hidden="1" customWidth="1" outlineLevel="1"/>
    <col min="32" max="32" width="5.44140625" style="4" hidden="1" customWidth="1" outlineLevel="1"/>
    <col min="33" max="33" width="5.5546875" style="4" hidden="1" customWidth="1" outlineLevel="1"/>
    <col min="34" max="34" width="4.88671875" style="4" hidden="1" customWidth="1" outlineLevel="1"/>
    <col min="35" max="35" width="9" style="4" hidden="1" customWidth="1" outlineLevel="1"/>
    <col min="36" max="36" width="12.6640625" style="3" hidden="1" customWidth="1" collapsed="1"/>
    <col min="37" max="37" width="13.33203125" style="3" hidden="1" customWidth="1"/>
    <col min="38" max="38" width="10.44140625" style="3" hidden="1" customWidth="1" outlineLevel="1"/>
    <col min="39" max="39" width="15.6640625" style="3" customWidth="1" collapsed="1"/>
    <col min="40" max="16384" width="11.44140625" style="3"/>
  </cols>
  <sheetData>
    <row r="1" spans="1:39" ht="18" customHeight="1" x14ac:dyDescent="0.2">
      <c r="A1" s="5" t="s">
        <v>0</v>
      </c>
      <c r="B1" s="6"/>
      <c r="C1" s="7"/>
      <c r="D1" s="8"/>
      <c r="E1" s="9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10"/>
      <c r="V1" s="11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12"/>
      <c r="AL1" s="12"/>
      <c r="AM1" s="13"/>
    </row>
    <row r="2" spans="1:39" ht="17.25" customHeight="1" x14ac:dyDescent="0.2">
      <c r="A2" s="6" t="s">
        <v>1</v>
      </c>
      <c r="B2" s="6">
        <v>1</v>
      </c>
      <c r="C2" s="14"/>
      <c r="D2" s="15"/>
      <c r="E2" s="16"/>
      <c r="F2" s="17"/>
      <c r="G2" s="211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10"/>
      <c r="V2" s="11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19"/>
      <c r="AL2" s="19"/>
      <c r="AM2" s="20"/>
    </row>
    <row r="3" spans="1:39" ht="27" customHeight="1" x14ac:dyDescent="0.2">
      <c r="A3" s="6" t="s">
        <v>2</v>
      </c>
      <c r="B3" s="6">
        <v>1</v>
      </c>
      <c r="C3" s="21"/>
      <c r="D3" s="22"/>
      <c r="E3" s="23"/>
      <c r="F3" s="24"/>
      <c r="G3" s="212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6"/>
      <c r="AK3" s="26"/>
      <c r="AL3" s="26"/>
      <c r="AM3" s="20"/>
    </row>
    <row r="4" spans="1:39" ht="19.5" customHeight="1" x14ac:dyDescent="0.3">
      <c r="A4" s="27"/>
      <c r="B4" s="27"/>
      <c r="C4" s="206" t="s">
        <v>800</v>
      </c>
      <c r="D4" s="207"/>
      <c r="E4" s="207"/>
      <c r="F4" s="207"/>
      <c r="G4" s="207"/>
      <c r="H4" s="207"/>
      <c r="I4" s="207"/>
      <c r="J4" s="207"/>
      <c r="K4" s="207"/>
      <c r="L4" s="208"/>
      <c r="M4" s="208"/>
      <c r="N4" s="208"/>
      <c r="O4" s="207"/>
      <c r="P4" s="207"/>
      <c r="Q4" s="208"/>
      <c r="R4" s="207"/>
      <c r="S4" s="208"/>
      <c r="T4" s="207"/>
      <c r="U4" s="207"/>
      <c r="V4" s="207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7"/>
      <c r="AK4" s="207"/>
      <c r="AL4" s="208"/>
      <c r="AM4" s="209"/>
    </row>
    <row r="5" spans="1:39" ht="34.5" customHeight="1" x14ac:dyDescent="0.2">
      <c r="A5" s="31" t="s">
        <v>5</v>
      </c>
      <c r="B5" s="31" t="s">
        <v>6</v>
      </c>
      <c r="C5" s="32" t="s">
        <v>7</v>
      </c>
      <c r="D5" s="32" t="s">
        <v>8</v>
      </c>
      <c r="E5" s="33" t="s">
        <v>9</v>
      </c>
      <c r="F5" s="34" t="s">
        <v>10</v>
      </c>
      <c r="G5" s="34" t="s">
        <v>11</v>
      </c>
      <c r="H5" s="35" t="s">
        <v>12</v>
      </c>
      <c r="I5" s="35" t="s">
        <v>13</v>
      </c>
      <c r="J5" s="36" t="s">
        <v>14</v>
      </c>
      <c r="K5" s="36" t="s">
        <v>15</v>
      </c>
      <c r="L5" s="36" t="s">
        <v>16</v>
      </c>
      <c r="M5" s="36" t="s">
        <v>17</v>
      </c>
      <c r="N5" s="36" t="s">
        <v>18</v>
      </c>
      <c r="O5" s="36" t="s">
        <v>19</v>
      </c>
      <c r="P5" s="36" t="s">
        <v>20</v>
      </c>
      <c r="Q5" s="36" t="s">
        <v>21</v>
      </c>
      <c r="R5" s="36" t="s">
        <v>22</v>
      </c>
      <c r="S5" s="36" t="s">
        <v>23</v>
      </c>
      <c r="T5" s="36" t="s">
        <v>24</v>
      </c>
      <c r="U5" s="36" t="s">
        <v>25</v>
      </c>
      <c r="V5" s="37" t="s">
        <v>26</v>
      </c>
      <c r="W5" s="36" t="s">
        <v>27</v>
      </c>
      <c r="X5" s="36" t="s">
        <v>28</v>
      </c>
      <c r="Y5" s="36" t="s">
        <v>29</v>
      </c>
      <c r="Z5" s="36" t="s">
        <v>30</v>
      </c>
      <c r="AA5" s="36" t="s">
        <v>31</v>
      </c>
      <c r="AB5" s="36" t="s">
        <v>32</v>
      </c>
      <c r="AC5" s="36" t="s">
        <v>33</v>
      </c>
      <c r="AD5" s="36" t="s">
        <v>34</v>
      </c>
      <c r="AE5" s="36" t="s">
        <v>35</v>
      </c>
      <c r="AF5" s="36" t="s">
        <v>36</v>
      </c>
      <c r="AG5" s="36" t="s">
        <v>37</v>
      </c>
      <c r="AH5" s="36" t="s">
        <v>38</v>
      </c>
      <c r="AI5" s="36" t="s">
        <v>39</v>
      </c>
      <c r="AJ5" s="38" t="s">
        <v>40</v>
      </c>
      <c r="AK5" s="38" t="s">
        <v>41</v>
      </c>
      <c r="AL5" s="37" t="s">
        <v>42</v>
      </c>
      <c r="AM5" s="34" t="s">
        <v>43</v>
      </c>
    </row>
    <row r="6" spans="1:39" x14ac:dyDescent="0.2">
      <c r="A6" s="39"/>
      <c r="B6" s="39">
        <v>1</v>
      </c>
      <c r="C6" s="40">
        <v>1</v>
      </c>
      <c r="D6" s="41" t="s">
        <v>45</v>
      </c>
      <c r="E6" s="42" t="s">
        <v>46</v>
      </c>
      <c r="F6" s="43" t="str">
        <f>F7</f>
        <v>PLE 12mm</v>
      </c>
      <c r="G6" s="44" t="str">
        <f>G7</f>
        <v>PL12X121</v>
      </c>
      <c r="H6" s="45" t="s">
        <v>48</v>
      </c>
      <c r="I6" s="45"/>
      <c r="J6" s="46">
        <f>MAX(J7)</f>
        <v>372</v>
      </c>
      <c r="K6" s="46" t="s">
        <v>48</v>
      </c>
      <c r="L6" s="47" t="s">
        <v>48</v>
      </c>
      <c r="M6" s="47" t="s">
        <v>48</v>
      </c>
      <c r="N6" s="46">
        <v>0.1</v>
      </c>
      <c r="O6" s="46">
        <v>26</v>
      </c>
      <c r="P6" s="46">
        <f>O6*TOTALES!$A$1</f>
        <v>26</v>
      </c>
      <c r="Q6" s="48">
        <f>+R6</f>
        <v>4.2401304</v>
      </c>
      <c r="R6" s="47">
        <f>SUM(R7)</f>
        <v>4.2401304</v>
      </c>
      <c r="S6" s="47" t="s">
        <v>48</v>
      </c>
      <c r="T6" s="47">
        <f>+R6*P6</f>
        <v>110.2433904</v>
      </c>
      <c r="U6" s="47">
        <f>R6/(J6/1000)</f>
        <v>11.398199999999999</v>
      </c>
      <c r="V6" s="49" t="str">
        <f>IF(U6&gt;100,"EXTRAPESADO",IF(U6&lt;=100,IF(U6&gt;=60,"PESADO",IF(U6&lt;60,IF(U6&gt;=30,"MEDIANO","LIVIANO")))))</f>
        <v>LIVIANO</v>
      </c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 t="s">
        <v>48</v>
      </c>
      <c r="AJ6" s="50" t="str">
        <f>AJ7</f>
        <v>A36</v>
      </c>
      <c r="AK6" s="49"/>
      <c r="AL6" s="49" t="str">
        <f>D6</f>
        <v>M1</v>
      </c>
      <c r="AM6" s="49" t="s">
        <v>49</v>
      </c>
    </row>
    <row r="7" spans="1:39" x14ac:dyDescent="0.2">
      <c r="A7" s="52">
        <v>687</v>
      </c>
      <c r="B7" s="53">
        <f>B6</f>
        <v>1</v>
      </c>
      <c r="C7" s="54" t="s">
        <v>48</v>
      </c>
      <c r="D7" s="52" t="s">
        <v>45</v>
      </c>
      <c r="E7" s="54" t="s">
        <v>46</v>
      </c>
      <c r="F7" s="54" t="str">
        <f>IF(A7=0,"SERIE",+VLOOKUP(A7,[3]!AREA2014A,3))</f>
        <v>PLE 12mm</v>
      </c>
      <c r="G7" s="54" t="s">
        <v>47</v>
      </c>
      <c r="H7" s="55">
        <f>IF(A7=0,"PESOU",+VLOOKUP(A7,[3]!AREA2014A,4))*$B$2</f>
        <v>94.2</v>
      </c>
      <c r="I7" s="56" t="str">
        <f>IF(A7=0,"CODIGO", +VLOOKUP(A7,[3]!AREA2014A,13))</f>
        <v>12.54.52.390.00</v>
      </c>
      <c r="J7" s="57">
        <v>372</v>
      </c>
      <c r="K7" s="57">
        <v>121</v>
      </c>
      <c r="L7" s="57">
        <v>0.1</v>
      </c>
      <c r="M7" s="57">
        <v>2.41</v>
      </c>
      <c r="N7" s="57" t="s">
        <v>48</v>
      </c>
      <c r="O7" s="58">
        <v>1</v>
      </c>
      <c r="P7" s="58">
        <f>O7*$P$6</f>
        <v>26</v>
      </c>
      <c r="Q7" s="59">
        <f>IF(K7="",+H7/1000*J7,+H7/1000*J7/1000*K7)</f>
        <v>4.2401304</v>
      </c>
      <c r="R7" s="58">
        <f>+Q7*O7</f>
        <v>4.2401304</v>
      </c>
      <c r="S7" s="58">
        <f>+Q7*P7</f>
        <v>110.2433904</v>
      </c>
      <c r="T7" s="58"/>
      <c r="U7" s="58"/>
      <c r="V7" s="54" t="str">
        <f>IF(U6&gt;100,"EXTRAPESADO",IF(U6&lt;=100,IF(U6&gt;=60,"PESADO",IF(U6&lt;60,IF(U6&gt;=30,"MEDIANO","LIVIANO")))))</f>
        <v>LIVIANO</v>
      </c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I7" s="58" t="s">
        <v>48</v>
      </c>
      <c r="AJ7" s="52" t="str">
        <f>IF(A7=0,"NORMA", +VLOOKUP(A7,[3]!AREA2014A,15))</f>
        <v>A36</v>
      </c>
      <c r="AL7" s="54" t="str">
        <f>AL6</f>
        <v>M1</v>
      </c>
      <c r="AM7" s="54" t="s">
        <v>49</v>
      </c>
    </row>
    <row r="8" spans="1:39" x14ac:dyDescent="0.2">
      <c r="A8" s="60"/>
      <c r="B8" s="60">
        <v>1</v>
      </c>
      <c r="C8" s="61">
        <v>2</v>
      </c>
      <c r="D8" s="43" t="s">
        <v>50</v>
      </c>
      <c r="E8" s="43" t="s">
        <v>51</v>
      </c>
      <c r="F8" s="43" t="str">
        <f>F9</f>
        <v>PLE 12mm</v>
      </c>
      <c r="G8" s="61" t="str">
        <f>G9</f>
        <v>PL12X121</v>
      </c>
      <c r="H8" s="62" t="s">
        <v>48</v>
      </c>
      <c r="I8" s="62"/>
      <c r="J8" s="63">
        <f>MAX(J9)</f>
        <v>372</v>
      </c>
      <c r="K8" s="63" t="s">
        <v>48</v>
      </c>
      <c r="L8" s="64" t="s">
        <v>48</v>
      </c>
      <c r="M8" s="64" t="s">
        <v>48</v>
      </c>
      <c r="N8" s="63">
        <v>0.1</v>
      </c>
      <c r="O8" s="63">
        <v>2</v>
      </c>
      <c r="P8" s="63">
        <f>O8*TOTALES!$A$1</f>
        <v>2</v>
      </c>
      <c r="Q8" s="64">
        <f>+R8</f>
        <v>4.2401304</v>
      </c>
      <c r="R8" s="64">
        <f>SUM(R9)</f>
        <v>4.2401304</v>
      </c>
      <c r="S8" s="64" t="s">
        <v>48</v>
      </c>
      <c r="T8" s="64">
        <f>+R8*P8</f>
        <v>8.4802607999999999</v>
      </c>
      <c r="U8" s="64">
        <f>R8/(J8/1000)</f>
        <v>11.398199999999999</v>
      </c>
      <c r="V8" s="43" t="str">
        <f>IF(U8&gt;100,"EXTRAPESADO",IF(U8&lt;=100,IF(U8&gt;=60,"PESADO",IF(U8&lt;60,IF(U8&gt;=30,"MEDIANO","LIVIANO")))))</f>
        <v>LIVIANO</v>
      </c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5"/>
      <c r="AI8" s="64" t="s">
        <v>48</v>
      </c>
      <c r="AJ8" s="61" t="str">
        <f>AJ9</f>
        <v>A36</v>
      </c>
      <c r="AK8" s="51"/>
      <c r="AL8" s="43" t="str">
        <f>D8</f>
        <v>M3</v>
      </c>
      <c r="AM8" s="43" t="s">
        <v>49</v>
      </c>
    </row>
    <row r="9" spans="1:39" x14ac:dyDescent="0.2">
      <c r="A9" s="52">
        <v>687</v>
      </c>
      <c r="B9" s="53">
        <f>B8</f>
        <v>1</v>
      </c>
      <c r="C9" s="54" t="s">
        <v>48</v>
      </c>
      <c r="D9" s="52" t="s">
        <v>50</v>
      </c>
      <c r="E9" s="54" t="s">
        <v>51</v>
      </c>
      <c r="F9" s="54" t="str">
        <f>IF(A9=0,"SERIE",+VLOOKUP(A9,[3]!AREA2014A,3))</f>
        <v>PLE 12mm</v>
      </c>
      <c r="G9" s="54" t="s">
        <v>47</v>
      </c>
      <c r="H9" s="55">
        <f>IF(A9=0,"PESOU",+VLOOKUP(A9,[3]!AREA2014A,4))*$B$2</f>
        <v>94.2</v>
      </c>
      <c r="I9" s="56" t="str">
        <f>IF(A9=0,"CODIGO", +VLOOKUP(A9,[3]!AREA2014A,13))</f>
        <v>12.54.52.390.00</v>
      </c>
      <c r="J9" s="57">
        <v>372</v>
      </c>
      <c r="K9" s="57">
        <v>121</v>
      </c>
      <c r="L9" s="57">
        <v>0.1</v>
      </c>
      <c r="M9" s="57">
        <v>0.2</v>
      </c>
      <c r="N9" s="57" t="s">
        <v>48</v>
      </c>
      <c r="O9" s="58">
        <v>1</v>
      </c>
      <c r="P9" s="58">
        <f>O9*$P$8</f>
        <v>2</v>
      </c>
      <c r="Q9" s="59">
        <f>IF(K9="",+H9/1000*J9,+H9/1000*J9/1000*K9)</f>
        <v>4.2401304</v>
      </c>
      <c r="R9" s="58">
        <f>+Q9*O9</f>
        <v>4.2401304</v>
      </c>
      <c r="S9" s="58">
        <f>+Q9*P9</f>
        <v>8.4802607999999999</v>
      </c>
      <c r="T9" s="58"/>
      <c r="U9" s="58"/>
      <c r="V9" s="54" t="str">
        <f>IF(U8&gt;100,"EXTRAPESADO",IF(U8&lt;=100,IF(U8&gt;=60,"PESADO",IF(U8&lt;60,IF(U8&gt;=30,"MEDIANO","LIVIANO")))))</f>
        <v>LIVIANO</v>
      </c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I9" s="58" t="s">
        <v>48</v>
      </c>
      <c r="AJ9" s="52" t="str">
        <f>IF(A9=0,"NORMA", +VLOOKUP(A9,[3]!AREA2014A,15))</f>
        <v>A36</v>
      </c>
      <c r="AL9" s="54" t="str">
        <f>AL8</f>
        <v>M3</v>
      </c>
      <c r="AM9" s="54" t="s">
        <v>49</v>
      </c>
    </row>
    <row r="10" spans="1:39" x14ac:dyDescent="0.2">
      <c r="A10" s="60"/>
      <c r="B10" s="60">
        <v>1</v>
      </c>
      <c r="C10" s="61">
        <v>3</v>
      </c>
      <c r="D10" s="43" t="s">
        <v>52</v>
      </c>
      <c r="E10" s="43" t="s">
        <v>793</v>
      </c>
      <c r="F10" s="43" t="str">
        <f>F11</f>
        <v>PLE 12mm</v>
      </c>
      <c r="G10" s="61" t="str">
        <f>G11</f>
        <v>HEB300</v>
      </c>
      <c r="H10" s="62" t="s">
        <v>48</v>
      </c>
      <c r="I10" s="62"/>
      <c r="J10" s="63">
        <f>MAX(J11:J20)</f>
        <v>4791</v>
      </c>
      <c r="K10" s="63" t="s">
        <v>48</v>
      </c>
      <c r="L10" s="64" t="s">
        <v>48</v>
      </c>
      <c r="M10" s="64" t="s">
        <v>48</v>
      </c>
      <c r="N10" s="63">
        <v>10.8</v>
      </c>
      <c r="O10" s="63">
        <v>1</v>
      </c>
      <c r="P10" s="63">
        <f>O10*TOTALES!$A$1</f>
        <v>1</v>
      </c>
      <c r="Q10" s="64">
        <f>+R10</f>
        <v>730.64031999999997</v>
      </c>
      <c r="R10" s="64">
        <f>SUM(R11:R20)</f>
        <v>730.64031999999997</v>
      </c>
      <c r="S10" s="64" t="s">
        <v>48</v>
      </c>
      <c r="T10" s="64">
        <f>+R10*P10</f>
        <v>730.64031999999997</v>
      </c>
      <c r="U10" s="64">
        <f>R10/(J10/1000)</f>
        <v>152.50267585055309</v>
      </c>
      <c r="V10" s="43" t="str">
        <f>IF(U10&gt;100,"EXTRAPESADO",IF(U10&lt;=100,IF(U10&gt;=60,"PESADO",IF(U10&lt;60,IF(U10&gt;=30,"MEDIANO","LIVIANO")))))</f>
        <v>EXTRAPESADO</v>
      </c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5"/>
      <c r="AI10" s="64" t="s">
        <v>48</v>
      </c>
      <c r="AJ10" s="61" t="str">
        <f>AJ11</f>
        <v>A36</v>
      </c>
      <c r="AK10" s="51"/>
      <c r="AL10" s="43" t="str">
        <f>D10</f>
        <v>TCL1</v>
      </c>
      <c r="AM10" s="43" t="s">
        <v>49</v>
      </c>
    </row>
    <row r="11" spans="1:39" x14ac:dyDescent="0.2">
      <c r="A11" s="52">
        <v>687</v>
      </c>
      <c r="B11" s="53">
        <f>B10</f>
        <v>1</v>
      </c>
      <c r="C11" s="54" t="s">
        <v>48</v>
      </c>
      <c r="D11" s="52" t="s">
        <v>52</v>
      </c>
      <c r="E11" s="54" t="s">
        <v>347</v>
      </c>
      <c r="F11" s="54" t="str">
        <f>IF(A11=0,"SERIE",+VLOOKUP(A11,[3]!AREA2014A,3))</f>
        <v>PLE 12mm</v>
      </c>
      <c r="G11" s="204" t="s">
        <v>53</v>
      </c>
      <c r="H11" s="55">
        <f>IF(A11=0,"PESOU",+VLOOKUP(A11,[3]!AREA2014A,4))*$B$2</f>
        <v>94.2</v>
      </c>
      <c r="I11" s="56" t="str">
        <f>IF(A11=0,"CODIGO", +VLOOKUP(A11,[3]!AREA2014A,13))</f>
        <v>12.54.52.390.00</v>
      </c>
      <c r="J11" s="57">
        <v>4791</v>
      </c>
      <c r="K11" s="57">
        <f>300-40</f>
        <v>260</v>
      </c>
      <c r="L11" s="57">
        <v>8.548</v>
      </c>
      <c r="M11" s="57">
        <v>8.5500000000000007</v>
      </c>
      <c r="N11" s="57" t="s">
        <v>48</v>
      </c>
      <c r="O11" s="58">
        <v>1</v>
      </c>
      <c r="P11" s="58">
        <f t="shared" ref="P11:P20" si="0">O11*$P$10</f>
        <v>1</v>
      </c>
      <c r="Q11" s="59">
        <f t="shared" ref="Q11:Q20" si="1">IF(K11="",+H11/1000*J11,+H11/1000*J11/1000*K11)</f>
        <v>117.341172</v>
      </c>
      <c r="R11" s="58">
        <f t="shared" ref="R11:R20" si="2">+Q11*O11</f>
        <v>117.341172</v>
      </c>
      <c r="S11" s="58">
        <f t="shared" ref="S11:S20" si="3">+Q11*P11</f>
        <v>117.341172</v>
      </c>
      <c r="T11" s="58"/>
      <c r="U11" s="58"/>
      <c r="V11" s="54" t="str">
        <f>IF(U10&gt;100,"EXTRAPESADO",IF(U10&lt;=100,IF(U10&gt;=60,"PESADO",IF(U10&lt;60,IF(U10&gt;=30,"MEDIANO","LIVIANO")))))</f>
        <v>EXTRAPESADO</v>
      </c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I11" s="58" t="s">
        <v>48</v>
      </c>
      <c r="AJ11" s="52" t="str">
        <f>IF(A11=0,"NORMA", +VLOOKUP(A11,[3]!AREA2014A,15))</f>
        <v>A36</v>
      </c>
      <c r="AL11" s="54" t="str">
        <f t="shared" ref="AL11:AL20" si="4">AL10</f>
        <v>TCL1</v>
      </c>
      <c r="AM11" s="54" t="s">
        <v>49</v>
      </c>
    </row>
    <row r="12" spans="1:39" x14ac:dyDescent="0.2">
      <c r="A12" s="52">
        <v>693</v>
      </c>
      <c r="B12" s="53">
        <f>B11</f>
        <v>1</v>
      </c>
      <c r="C12" s="54" t="s">
        <v>48</v>
      </c>
      <c r="D12" s="52" t="s">
        <v>52</v>
      </c>
      <c r="E12" s="54" t="s">
        <v>791</v>
      </c>
      <c r="F12" s="54" t="str">
        <f>IF(A12=0,"SERIE",+VLOOKUP(A12,[3]!AREA2014A,3))</f>
        <v>PLE 20mm</v>
      </c>
      <c r="G12" s="204" t="s">
        <v>53</v>
      </c>
      <c r="H12" s="55">
        <f>IF(A12=0,"PESOU",+VLOOKUP(A12,[3]!AREA2014A,4))*$B$2</f>
        <v>157</v>
      </c>
      <c r="I12" s="56" t="str">
        <f>IF(A12=0,"CODIGO", +VLOOKUP(A12,[3]!AREA2014A,13))</f>
        <v>12.54.52.470.03</v>
      </c>
      <c r="J12" s="57">
        <v>4791</v>
      </c>
      <c r="K12" s="57">
        <v>300</v>
      </c>
      <c r="L12" s="57">
        <v>8.548</v>
      </c>
      <c r="M12" s="57">
        <v>8.5500000000000007</v>
      </c>
      <c r="N12" s="57" t="s">
        <v>48</v>
      </c>
      <c r="O12" s="58">
        <v>2</v>
      </c>
      <c r="P12" s="58">
        <f t="shared" si="0"/>
        <v>2</v>
      </c>
      <c r="Q12" s="59">
        <f t="shared" ref="Q12" si="5">IF(K12="",+H12/1000*J12,+H12/1000*J12/1000*K12)</f>
        <v>225.65610000000001</v>
      </c>
      <c r="R12" s="58">
        <f t="shared" ref="R12" si="6">+Q12*O12</f>
        <v>451.31220000000002</v>
      </c>
      <c r="S12" s="58">
        <f t="shared" ref="S12" si="7">+Q12*P12</f>
        <v>451.31220000000002</v>
      </c>
      <c r="T12" s="58"/>
      <c r="U12" s="58"/>
      <c r="V12" s="54" t="str">
        <f>IF(U11&gt;100,"EXTRAPESADO",IF(U11&lt;=100,IF(U11&gt;=60,"PESADO",IF(U11&lt;60,IF(U11&gt;=30,"MEDIANO","LIVIANO")))))</f>
        <v>LIVIANO</v>
      </c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I12" s="58" t="s">
        <v>48</v>
      </c>
      <c r="AJ12" s="52" t="str">
        <f>IF(A12=0,"NORMA", +VLOOKUP(A12,[3]!AREA2014A,15))</f>
        <v>A36</v>
      </c>
      <c r="AL12" s="54" t="str">
        <f t="shared" ref="AL12" si="8">AL11</f>
        <v>TCL1</v>
      </c>
      <c r="AM12" s="54" t="s">
        <v>49</v>
      </c>
    </row>
    <row r="13" spans="1:39" x14ac:dyDescent="0.2">
      <c r="A13" s="52">
        <v>979</v>
      </c>
      <c r="B13" s="53">
        <f>B10</f>
        <v>1</v>
      </c>
      <c r="C13" s="54" t="s">
        <v>48</v>
      </c>
      <c r="D13" s="52" t="s">
        <v>54</v>
      </c>
      <c r="E13" s="54" t="s">
        <v>46</v>
      </c>
      <c r="F13" s="217" t="str">
        <f>IF(A13=0,"SERIE",+VLOOKUP(A13,[3]!AREA2014A,3))</f>
        <v>PLE 15mm</v>
      </c>
      <c r="G13" s="54" t="s">
        <v>55</v>
      </c>
      <c r="H13" s="55">
        <f>IF(A13=0,"PESOU",+VLOOKUP(A13,[3]!AREA2014A,4))*$B$2</f>
        <v>117.75</v>
      </c>
      <c r="I13" s="56" t="str">
        <f>IF(A13=0,"CODIGO", +VLOOKUP(A13,[3]!AREA2014A,13))</f>
        <v>12.54.52.420.00</v>
      </c>
      <c r="J13" s="57">
        <v>149</v>
      </c>
      <c r="K13" s="57">
        <v>144</v>
      </c>
      <c r="L13" s="57">
        <v>3.3000000000000002E-2</v>
      </c>
      <c r="M13" s="57">
        <v>7.0000000000000007E-2</v>
      </c>
      <c r="N13" s="57" t="s">
        <v>48</v>
      </c>
      <c r="O13" s="58">
        <v>2</v>
      </c>
      <c r="P13" s="58">
        <f t="shared" si="0"/>
        <v>2</v>
      </c>
      <c r="Q13" s="59">
        <f t="shared" si="1"/>
        <v>2.5264440000000001</v>
      </c>
      <c r="R13" s="58">
        <f t="shared" si="2"/>
        <v>5.0528880000000003</v>
      </c>
      <c r="S13" s="58">
        <f t="shared" si="3"/>
        <v>5.0528880000000003</v>
      </c>
      <c r="T13" s="58"/>
      <c r="U13" s="58"/>
      <c r="V13" s="54" t="str">
        <f>IF(U10&gt;100,"EXTRAPESADO",IF(U10&lt;=100,IF(U10&gt;=60,"PESADO",IF(U10&lt;60,IF(U10&gt;=30,"MEDIANO","LIVIANO")))))</f>
        <v>EXTRAPESADO</v>
      </c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I13" s="58" t="s">
        <v>48</v>
      </c>
      <c r="AJ13" s="52" t="str">
        <f>IF(A13=0,"NORMA", +VLOOKUP(A13,[3]!AREA2014A,15))</f>
        <v>A572 G50</v>
      </c>
      <c r="AL13" s="54" t="str">
        <f>AL11</f>
        <v>TCL1</v>
      </c>
      <c r="AM13" s="54" t="s">
        <v>49</v>
      </c>
    </row>
    <row r="14" spans="1:39" x14ac:dyDescent="0.2">
      <c r="A14" s="52">
        <v>693</v>
      </c>
      <c r="B14" s="53">
        <f>B10</f>
        <v>1</v>
      </c>
      <c r="C14" s="54" t="s">
        <v>48</v>
      </c>
      <c r="D14" s="52" t="s">
        <v>56</v>
      </c>
      <c r="E14" s="54" t="s">
        <v>57</v>
      </c>
      <c r="F14" s="54" t="str">
        <f>IF(A14=0,"SERIE",+VLOOKUP(A14,[3]!AREA2014A,3))</f>
        <v>PLE 20mm</v>
      </c>
      <c r="G14" s="54" t="s">
        <v>58</v>
      </c>
      <c r="H14" s="55">
        <f>IF(A14=0,"PESOU",+VLOOKUP(A14,[3]!AREA2014A,4))*$B$2</f>
        <v>157</v>
      </c>
      <c r="I14" s="56" t="str">
        <f>IF(A14=0,"CODIGO", +VLOOKUP(A14,[3]!AREA2014A,13))</f>
        <v>12.54.52.470.03</v>
      </c>
      <c r="J14" s="57">
        <v>460</v>
      </c>
      <c r="K14" s="57">
        <v>460</v>
      </c>
      <c r="L14" s="57">
        <v>0.46</v>
      </c>
      <c r="M14" s="57">
        <v>0.46</v>
      </c>
      <c r="N14" s="57" t="s">
        <v>48</v>
      </c>
      <c r="O14" s="58">
        <v>1</v>
      </c>
      <c r="P14" s="58">
        <f t="shared" si="0"/>
        <v>1</v>
      </c>
      <c r="Q14" s="59">
        <f t="shared" si="1"/>
        <v>33.221199999999996</v>
      </c>
      <c r="R14" s="58">
        <f t="shared" si="2"/>
        <v>33.221199999999996</v>
      </c>
      <c r="S14" s="58">
        <f t="shared" si="3"/>
        <v>33.221199999999996</v>
      </c>
      <c r="T14" s="58"/>
      <c r="U14" s="58"/>
      <c r="V14" s="54" t="str">
        <f>IF(U10&gt;100,"EXTRAPESADO",IF(U10&lt;=100,IF(U10&gt;=60,"PESADO",IF(U10&lt;60,IF(U10&gt;=30,"MEDIANO","LIVIANO")))))</f>
        <v>EXTRAPESADO</v>
      </c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I14" s="58" t="s">
        <v>48</v>
      </c>
      <c r="AJ14" s="52" t="str">
        <f>IF(A14=0,"NORMA", +VLOOKUP(A14,[3]!AREA2014A,15))</f>
        <v>A36</v>
      </c>
      <c r="AL14" s="54" t="str">
        <f t="shared" si="4"/>
        <v>TCL1</v>
      </c>
      <c r="AM14" s="54" t="s">
        <v>49</v>
      </c>
    </row>
    <row r="15" spans="1:39" x14ac:dyDescent="0.2">
      <c r="A15" s="52">
        <v>693</v>
      </c>
      <c r="B15" s="53">
        <f>B10</f>
        <v>1</v>
      </c>
      <c r="C15" s="54" t="s">
        <v>48</v>
      </c>
      <c r="D15" s="52" t="s">
        <v>59</v>
      </c>
      <c r="E15" s="54" t="s">
        <v>60</v>
      </c>
      <c r="F15" s="54" t="str">
        <f>IF(A15=0,"SERIE",+VLOOKUP(A15,[3]!AREA2014A,3))</f>
        <v>PLE 20mm</v>
      </c>
      <c r="G15" s="54" t="s">
        <v>61</v>
      </c>
      <c r="H15" s="55">
        <f>IF(A15=0,"PESOU",+VLOOKUP(A15,[3]!AREA2014A,4))*$B$2</f>
        <v>157</v>
      </c>
      <c r="I15" s="56" t="str">
        <f>IF(A15=0,"CODIGO", +VLOOKUP(A15,[3]!AREA2014A,13))</f>
        <v>12.54.52.470.03</v>
      </c>
      <c r="J15" s="57">
        <v>350</v>
      </c>
      <c r="K15" s="57">
        <v>250</v>
      </c>
      <c r="L15" s="57">
        <v>0.19900000000000001</v>
      </c>
      <c r="M15" s="57">
        <v>0.2</v>
      </c>
      <c r="N15" s="57" t="s">
        <v>48</v>
      </c>
      <c r="O15" s="58">
        <v>1</v>
      </c>
      <c r="P15" s="58">
        <f t="shared" si="0"/>
        <v>1</v>
      </c>
      <c r="Q15" s="59">
        <f t="shared" si="1"/>
        <v>13.737500000000001</v>
      </c>
      <c r="R15" s="58">
        <f t="shared" si="2"/>
        <v>13.737500000000001</v>
      </c>
      <c r="S15" s="58">
        <f t="shared" si="3"/>
        <v>13.737500000000001</v>
      </c>
      <c r="T15" s="58"/>
      <c r="U15" s="58"/>
      <c r="V15" s="54" t="str">
        <f>IF(U10&gt;100,"EXTRAPESADO",IF(U10&lt;=100,IF(U10&gt;=60,"PESADO",IF(U10&lt;60,IF(U10&gt;=30,"MEDIANO","LIVIANO")))))</f>
        <v>EXTRAPESADO</v>
      </c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I15" s="58" t="s">
        <v>48</v>
      </c>
      <c r="AJ15" s="52" t="str">
        <f>IF(A15=0,"NORMA", +VLOOKUP(A15,[3]!AREA2014A,15))</f>
        <v>A36</v>
      </c>
      <c r="AL15" s="54" t="str">
        <f t="shared" si="4"/>
        <v>TCL1</v>
      </c>
      <c r="AM15" s="54" t="s">
        <v>49</v>
      </c>
    </row>
    <row r="16" spans="1:39" x14ac:dyDescent="0.2">
      <c r="A16" s="52">
        <v>693</v>
      </c>
      <c r="B16" s="53">
        <f>B10</f>
        <v>1</v>
      </c>
      <c r="C16" s="54" t="s">
        <v>48</v>
      </c>
      <c r="D16" s="52" t="s">
        <v>62</v>
      </c>
      <c r="E16" s="54" t="s">
        <v>46</v>
      </c>
      <c r="F16" s="54" t="str">
        <f>IF(A16=0,"SERIE",+VLOOKUP(A16,[3]!AREA2014A,3))</f>
        <v>PLE 20mm</v>
      </c>
      <c r="G16" s="54" t="s">
        <v>63</v>
      </c>
      <c r="H16" s="55">
        <f>IF(A16=0,"PESOU",+VLOOKUP(A16,[3]!AREA2014A,4))*$B$2</f>
        <v>157</v>
      </c>
      <c r="I16" s="56" t="str">
        <f>IF(A16=0,"CODIGO", +VLOOKUP(A16,[3]!AREA2014A,13))</f>
        <v>12.54.52.470.03</v>
      </c>
      <c r="J16" s="57">
        <v>345</v>
      </c>
      <c r="K16" s="57">
        <v>259</v>
      </c>
      <c r="L16" s="57">
        <v>0.19900000000000001</v>
      </c>
      <c r="M16" s="57">
        <v>0.8</v>
      </c>
      <c r="N16" s="57" t="s">
        <v>48</v>
      </c>
      <c r="O16" s="58">
        <v>4</v>
      </c>
      <c r="P16" s="58">
        <f t="shared" si="0"/>
        <v>4</v>
      </c>
      <c r="Q16" s="59">
        <f t="shared" si="1"/>
        <v>14.028734999999999</v>
      </c>
      <c r="R16" s="58">
        <f t="shared" si="2"/>
        <v>56.114939999999997</v>
      </c>
      <c r="S16" s="58">
        <f t="shared" si="3"/>
        <v>56.114939999999997</v>
      </c>
      <c r="T16" s="58"/>
      <c r="U16" s="58"/>
      <c r="V16" s="54" t="str">
        <f>IF(U10&gt;100,"EXTRAPESADO",IF(U10&lt;=100,IF(U10&gt;=60,"PESADO",IF(U10&lt;60,IF(U10&gt;=30,"MEDIANO","LIVIANO")))))</f>
        <v>EXTRAPESADO</v>
      </c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I16" s="58" t="s">
        <v>48</v>
      </c>
      <c r="AJ16" s="52" t="str">
        <f>IF(A16=0,"NORMA", +VLOOKUP(A16,[3]!AREA2014A,15))</f>
        <v>A36</v>
      </c>
      <c r="AL16" s="54" t="str">
        <f t="shared" si="4"/>
        <v>TCL1</v>
      </c>
      <c r="AM16" s="54" t="s">
        <v>49</v>
      </c>
    </row>
    <row r="17" spans="1:39" x14ac:dyDescent="0.2">
      <c r="A17" s="52">
        <v>693</v>
      </c>
      <c r="B17" s="53">
        <f>B10</f>
        <v>1</v>
      </c>
      <c r="C17" s="54" t="s">
        <v>48</v>
      </c>
      <c r="D17" s="52" t="s">
        <v>64</v>
      </c>
      <c r="E17" s="54" t="s">
        <v>46</v>
      </c>
      <c r="F17" s="54" t="str">
        <f>IF(A17=0,"SERIE",+VLOOKUP(A17,[3]!AREA2014A,3))</f>
        <v>PLE 20mm</v>
      </c>
      <c r="G17" s="54" t="s">
        <v>65</v>
      </c>
      <c r="H17" s="55">
        <f>IF(A17=0,"PESOU",+VLOOKUP(A17,[3]!AREA2014A,4))*$B$2</f>
        <v>157</v>
      </c>
      <c r="I17" s="56" t="str">
        <f>IF(A17=0,"CODIGO", +VLOOKUP(A17,[3]!AREA2014A,13))</f>
        <v>12.54.52.470.03</v>
      </c>
      <c r="J17" s="57">
        <v>258</v>
      </c>
      <c r="K17" s="57">
        <v>145</v>
      </c>
      <c r="L17" s="57">
        <v>8.8999999999999996E-2</v>
      </c>
      <c r="M17" s="57">
        <v>0.36</v>
      </c>
      <c r="N17" s="57" t="s">
        <v>48</v>
      </c>
      <c r="O17" s="58">
        <v>4</v>
      </c>
      <c r="P17" s="58">
        <f t="shared" si="0"/>
        <v>4</v>
      </c>
      <c r="Q17" s="59">
        <f t="shared" si="1"/>
        <v>5.8733700000000004</v>
      </c>
      <c r="R17" s="58">
        <f t="shared" si="2"/>
        <v>23.493480000000002</v>
      </c>
      <c r="S17" s="58">
        <f t="shared" si="3"/>
        <v>23.493480000000002</v>
      </c>
      <c r="T17" s="58"/>
      <c r="U17" s="58"/>
      <c r="V17" s="54" t="str">
        <f>IF(U10&gt;100,"EXTRAPESADO",IF(U10&lt;=100,IF(U10&gt;=60,"PESADO",IF(U10&lt;60,IF(U10&gt;=30,"MEDIANO","LIVIANO")))))</f>
        <v>EXTRAPESADO</v>
      </c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I17" s="58" t="s">
        <v>48</v>
      </c>
      <c r="AJ17" s="52" t="str">
        <f>IF(A17=0,"NORMA", +VLOOKUP(A17,[3]!AREA2014A,15))</f>
        <v>A36</v>
      </c>
      <c r="AL17" s="54" t="str">
        <f t="shared" si="4"/>
        <v>TCL1</v>
      </c>
      <c r="AM17" s="54" t="s">
        <v>49</v>
      </c>
    </row>
    <row r="18" spans="1:39" x14ac:dyDescent="0.2">
      <c r="A18" s="52">
        <v>687</v>
      </c>
      <c r="B18" s="53">
        <f>B10</f>
        <v>1</v>
      </c>
      <c r="C18" s="54" t="s">
        <v>48</v>
      </c>
      <c r="D18" s="52" t="s">
        <v>66</v>
      </c>
      <c r="E18" s="54" t="s">
        <v>46</v>
      </c>
      <c r="F18" s="54" t="str">
        <f>IF(A18=0,"SERIE",+VLOOKUP(A18,[3]!AREA2014A,3))</f>
        <v>PLE 12mm</v>
      </c>
      <c r="G18" s="54" t="s">
        <v>67</v>
      </c>
      <c r="H18" s="55">
        <f>IF(A18=0,"PESOU",+VLOOKUP(A18,[3]!AREA2014A,4))*$B$2</f>
        <v>94.2</v>
      </c>
      <c r="I18" s="56" t="str">
        <f>IF(A18=0,"CODIGO", +VLOOKUP(A18,[3]!AREA2014A,13))</f>
        <v>12.54.52.390.00</v>
      </c>
      <c r="J18" s="57">
        <v>345</v>
      </c>
      <c r="K18" s="57">
        <v>300</v>
      </c>
      <c r="L18" s="57">
        <v>0.219</v>
      </c>
      <c r="M18" s="57">
        <v>0.22</v>
      </c>
      <c r="N18" s="57" t="s">
        <v>48</v>
      </c>
      <c r="O18" s="58">
        <v>1</v>
      </c>
      <c r="P18" s="58">
        <f t="shared" si="0"/>
        <v>1</v>
      </c>
      <c r="Q18" s="59">
        <f t="shared" si="1"/>
        <v>9.7497000000000007</v>
      </c>
      <c r="R18" s="58">
        <f t="shared" si="2"/>
        <v>9.7497000000000007</v>
      </c>
      <c r="S18" s="58">
        <f t="shared" si="3"/>
        <v>9.7497000000000007</v>
      </c>
      <c r="T18" s="58"/>
      <c r="U18" s="58"/>
      <c r="V18" s="54" t="str">
        <f>IF(U10&gt;100,"EXTRAPESADO",IF(U10&lt;=100,IF(U10&gt;=60,"PESADO",IF(U10&lt;60,IF(U10&gt;=30,"MEDIANO","LIVIANO")))))</f>
        <v>EXTRAPESADO</v>
      </c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I18" s="58" t="s">
        <v>48</v>
      </c>
      <c r="AJ18" s="52" t="str">
        <f>IF(A18=0,"NORMA", +VLOOKUP(A18,[3]!AREA2014A,15))</f>
        <v>A36</v>
      </c>
      <c r="AL18" s="54" t="str">
        <f t="shared" si="4"/>
        <v>TCL1</v>
      </c>
      <c r="AM18" s="54" t="s">
        <v>49</v>
      </c>
    </row>
    <row r="19" spans="1:39" x14ac:dyDescent="0.2">
      <c r="A19" s="52">
        <v>693</v>
      </c>
      <c r="B19" s="53">
        <f>B10</f>
        <v>1</v>
      </c>
      <c r="C19" s="54" t="s">
        <v>48</v>
      </c>
      <c r="D19" s="52" t="s">
        <v>68</v>
      </c>
      <c r="E19" s="54" t="s">
        <v>60</v>
      </c>
      <c r="F19" s="54" t="str">
        <f>IF(A19=0,"SERIE",+VLOOKUP(A19,[3]!AREA2014A,3))</f>
        <v>PLE 20mm</v>
      </c>
      <c r="G19" s="54" t="s">
        <v>61</v>
      </c>
      <c r="H19" s="55">
        <f>IF(A19=0,"PESOU",+VLOOKUP(A19,[3]!AREA2014A,4))*$B$2</f>
        <v>157</v>
      </c>
      <c r="I19" s="56" t="str">
        <f>IF(A19=0,"CODIGO", +VLOOKUP(A19,[3]!AREA2014A,13))</f>
        <v>12.54.52.470.03</v>
      </c>
      <c r="J19" s="57">
        <v>310</v>
      </c>
      <c r="K19" s="57">
        <v>250</v>
      </c>
      <c r="L19" s="57">
        <v>0.17699999999999999</v>
      </c>
      <c r="M19" s="57">
        <v>0.18</v>
      </c>
      <c r="N19" s="57" t="s">
        <v>48</v>
      </c>
      <c r="O19" s="58">
        <v>1</v>
      </c>
      <c r="P19" s="58">
        <f t="shared" si="0"/>
        <v>1</v>
      </c>
      <c r="Q19" s="59">
        <f t="shared" si="1"/>
        <v>12.1675</v>
      </c>
      <c r="R19" s="58">
        <f t="shared" si="2"/>
        <v>12.1675</v>
      </c>
      <c r="S19" s="58">
        <f t="shared" si="3"/>
        <v>12.1675</v>
      </c>
      <c r="T19" s="58"/>
      <c r="U19" s="58"/>
      <c r="V19" s="54" t="str">
        <f>IF(U10&gt;100,"EXTRAPESADO",IF(U10&lt;=100,IF(U10&gt;=60,"PESADO",IF(U10&lt;60,IF(U10&gt;=30,"MEDIANO","LIVIANO")))))</f>
        <v>EXTRAPESADO</v>
      </c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I19" s="58" t="s">
        <v>48</v>
      </c>
      <c r="AJ19" s="52" t="str">
        <f>IF(A19=0,"NORMA", +VLOOKUP(A19,[3]!AREA2014A,15))</f>
        <v>A36</v>
      </c>
      <c r="AL19" s="54" t="str">
        <f t="shared" si="4"/>
        <v>TCL1</v>
      </c>
      <c r="AM19" s="54" t="s">
        <v>49</v>
      </c>
    </row>
    <row r="20" spans="1:39" x14ac:dyDescent="0.2">
      <c r="A20" s="52">
        <v>687</v>
      </c>
      <c r="B20" s="53">
        <f>B10</f>
        <v>1</v>
      </c>
      <c r="C20" s="54" t="s">
        <v>48</v>
      </c>
      <c r="D20" s="52" t="s">
        <v>69</v>
      </c>
      <c r="E20" s="54" t="s">
        <v>46</v>
      </c>
      <c r="F20" s="54" t="str">
        <f>IF(A20=0,"SERIE",+VLOOKUP(A20,[3]!AREA2014A,3))</f>
        <v>PLE 12mm</v>
      </c>
      <c r="G20" s="54" t="s">
        <v>70</v>
      </c>
      <c r="H20" s="55">
        <f>IF(A20=0,"PESOU",+VLOOKUP(A20,[3]!AREA2014A,4))*$B$2</f>
        <v>94.2</v>
      </c>
      <c r="I20" s="56" t="str">
        <f>IF(A20=0,"CODIGO", +VLOOKUP(A20,[3]!AREA2014A,13))</f>
        <v>12.54.52.390.00</v>
      </c>
      <c r="J20" s="57">
        <v>345</v>
      </c>
      <c r="K20" s="57">
        <v>260</v>
      </c>
      <c r="L20" s="57">
        <v>0.19</v>
      </c>
      <c r="M20" s="57">
        <v>0.19</v>
      </c>
      <c r="N20" s="57" t="s">
        <v>48</v>
      </c>
      <c r="O20" s="58">
        <v>1</v>
      </c>
      <c r="P20" s="58">
        <f t="shared" si="0"/>
        <v>1</v>
      </c>
      <c r="Q20" s="59">
        <f t="shared" si="1"/>
        <v>8.4497400000000003</v>
      </c>
      <c r="R20" s="58">
        <f t="shared" si="2"/>
        <v>8.4497400000000003</v>
      </c>
      <c r="S20" s="58">
        <f t="shared" si="3"/>
        <v>8.4497400000000003</v>
      </c>
      <c r="T20" s="58"/>
      <c r="U20" s="58"/>
      <c r="V20" s="54" t="str">
        <f>IF(U10&gt;100,"EXTRAPESADO",IF(U10&lt;=100,IF(U10&gt;=60,"PESADO",IF(U10&lt;60,IF(U10&gt;=30,"MEDIANO","LIVIANO")))))</f>
        <v>EXTRAPESADO</v>
      </c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I20" s="58" t="s">
        <v>48</v>
      </c>
      <c r="AJ20" s="52" t="str">
        <f>IF(A20=0,"NORMA", +VLOOKUP(A20,[3]!AREA2014A,15))</f>
        <v>A36</v>
      </c>
      <c r="AL20" s="54" t="str">
        <f t="shared" si="4"/>
        <v>TCL1</v>
      </c>
      <c r="AM20" s="54" t="s">
        <v>49</v>
      </c>
    </row>
    <row r="21" spans="1:39" x14ac:dyDescent="0.2">
      <c r="A21" s="60"/>
      <c r="B21" s="60">
        <v>1</v>
      </c>
      <c r="C21" s="61">
        <v>4</v>
      </c>
      <c r="D21" s="43" t="s">
        <v>71</v>
      </c>
      <c r="E21" s="43" t="s">
        <v>792</v>
      </c>
      <c r="F21" s="43" t="str">
        <f>F22</f>
        <v>PLE 10mm</v>
      </c>
      <c r="G21" s="61" t="str">
        <f>G22</f>
        <v>HEB200</v>
      </c>
      <c r="H21" s="62" t="s">
        <v>48</v>
      </c>
      <c r="I21" s="62"/>
      <c r="J21" s="63">
        <f>MAX(J22:J25)</f>
        <v>5076</v>
      </c>
      <c r="K21" s="63" t="s">
        <v>48</v>
      </c>
      <c r="L21" s="64" t="s">
        <v>48</v>
      </c>
      <c r="M21" s="64" t="s">
        <v>48</v>
      </c>
      <c r="N21" s="63">
        <v>6.4</v>
      </c>
      <c r="O21" s="63">
        <v>1</v>
      </c>
      <c r="P21" s="63">
        <f>O21*TOTALES!$A$1</f>
        <v>1</v>
      </c>
      <c r="Q21" s="64">
        <f>+R21</f>
        <v>345.09290800000002</v>
      </c>
      <c r="R21" s="64">
        <f>SUM(R22:R25)</f>
        <v>345.09290800000002</v>
      </c>
      <c r="S21" s="64" t="s">
        <v>48</v>
      </c>
      <c r="T21" s="64">
        <f>+R21*P21</f>
        <v>345.09290800000002</v>
      </c>
      <c r="U21" s="64">
        <f>R21/(J21/1000)</f>
        <v>67.985206461780933</v>
      </c>
      <c r="V21" s="43" t="str">
        <f>IF(U21&gt;100,"EXTRAPESADO",IF(U21&lt;=100,IF(U21&gt;=60,"PESADO",IF(U21&lt;60,IF(U21&gt;=30,"MEDIANO","LIVIANO")))))</f>
        <v>PESADO</v>
      </c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5"/>
      <c r="AI21" s="64" t="s">
        <v>48</v>
      </c>
      <c r="AJ21" s="61" t="str">
        <f>AJ22</f>
        <v>A36</v>
      </c>
      <c r="AK21" s="51"/>
      <c r="AL21" s="43" t="str">
        <f>D21</f>
        <v>TCL2</v>
      </c>
      <c r="AM21" s="43" t="s">
        <v>49</v>
      </c>
    </row>
    <row r="22" spans="1:39" x14ac:dyDescent="0.2">
      <c r="A22" s="52">
        <v>686</v>
      </c>
      <c r="B22" s="53">
        <f>B21</f>
        <v>1</v>
      </c>
      <c r="C22" s="54" t="s">
        <v>48</v>
      </c>
      <c r="D22" s="52" t="s">
        <v>71</v>
      </c>
      <c r="E22" s="54" t="s">
        <v>347</v>
      </c>
      <c r="F22" s="54" t="str">
        <f>IF(A22=0,"SERIE",+VLOOKUP(A22,[3]!AREA2014A,3))</f>
        <v>PLE 10mm</v>
      </c>
      <c r="G22" s="204" t="s">
        <v>72</v>
      </c>
      <c r="H22" s="55">
        <f>IF(A22=0,"PESOU",+VLOOKUP(A22,[3]!AREA2014A,4))*$B$2</f>
        <v>78.5</v>
      </c>
      <c r="I22" s="56" t="str">
        <f>IF(A22=0,"CODIGO", +VLOOKUP(A22,[3]!AREA2014A,13))</f>
        <v>12.54.52.370.07</v>
      </c>
      <c r="J22" s="57">
        <v>5076</v>
      </c>
      <c r="K22" s="57">
        <f>200-30</f>
        <v>170</v>
      </c>
      <c r="L22" s="57">
        <v>6.0149999999999997</v>
      </c>
      <c r="M22" s="57">
        <v>6.02</v>
      </c>
      <c r="N22" s="57" t="s">
        <v>48</v>
      </c>
      <c r="O22" s="58">
        <v>1</v>
      </c>
      <c r="P22" s="58">
        <f>O22*$P$21</f>
        <v>1</v>
      </c>
      <c r="Q22" s="59">
        <f>IF(K22="",+H22/1000*J22,+H22/1000*J22/1000*K22)</f>
        <v>67.739220000000003</v>
      </c>
      <c r="R22" s="58">
        <f>+Q22*O22</f>
        <v>67.739220000000003</v>
      </c>
      <c r="S22" s="58">
        <f>+Q22*P22</f>
        <v>67.739220000000003</v>
      </c>
      <c r="T22" s="58"/>
      <c r="U22" s="58"/>
      <c r="V22" s="54" t="str">
        <f>IF(U21&gt;100,"EXTRAPESADO",IF(U21&lt;=100,IF(U21&gt;=60,"PESADO",IF(U21&lt;60,IF(U21&gt;=30,"MEDIANO","LIVIANO")))))</f>
        <v>PESADO</v>
      </c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I22" s="58" t="s">
        <v>48</v>
      </c>
      <c r="AJ22" s="52" t="str">
        <f>IF(A22=0,"NORMA", +VLOOKUP(A22,[3]!AREA2014A,15))</f>
        <v>A36</v>
      </c>
      <c r="AL22" s="54" t="str">
        <f>AL21</f>
        <v>TCL2</v>
      </c>
      <c r="AM22" s="54" t="s">
        <v>49</v>
      </c>
    </row>
    <row r="23" spans="1:39" x14ac:dyDescent="0.2">
      <c r="A23" s="52">
        <v>689</v>
      </c>
      <c r="B23" s="53">
        <f>B22</f>
        <v>1</v>
      </c>
      <c r="C23" s="54" t="s">
        <v>48</v>
      </c>
      <c r="D23" s="52" t="s">
        <v>71</v>
      </c>
      <c r="E23" s="54" t="s">
        <v>791</v>
      </c>
      <c r="F23" s="54" t="str">
        <f>IF(A23=0,"SERIE",+VLOOKUP(A23,[3]!AREA2014A,3))</f>
        <v>PLE 15mm</v>
      </c>
      <c r="G23" s="204" t="s">
        <v>72</v>
      </c>
      <c r="H23" s="55">
        <f>IF(A23=0,"PESOU",+VLOOKUP(A23,[3]!AREA2014A,4))*$B$2</f>
        <v>117.75</v>
      </c>
      <c r="I23" s="56" t="str">
        <f>IF(A23=0,"CODIGO", +VLOOKUP(A23,[3]!AREA2014A,13))</f>
        <v>12.54.52.420.01</v>
      </c>
      <c r="J23" s="57">
        <v>5076</v>
      </c>
      <c r="K23" s="57">
        <v>200</v>
      </c>
      <c r="L23" s="57">
        <v>6.0149999999999997</v>
      </c>
      <c r="M23" s="57">
        <v>6.02</v>
      </c>
      <c r="N23" s="57" t="s">
        <v>48</v>
      </c>
      <c r="O23" s="58">
        <v>2</v>
      </c>
      <c r="P23" s="58">
        <f>O23*$P$21</f>
        <v>2</v>
      </c>
      <c r="Q23" s="59">
        <f>IF(K23="",+H23/1000*J23,+H23/1000*J23/1000*K23)</f>
        <v>119.5398</v>
      </c>
      <c r="R23" s="58">
        <f>+Q23*O23</f>
        <v>239.0796</v>
      </c>
      <c r="S23" s="58">
        <f>+Q23*P23</f>
        <v>239.0796</v>
      </c>
      <c r="T23" s="58"/>
      <c r="U23" s="58"/>
      <c r="V23" s="54" t="str">
        <f>IF(U22&gt;100,"EXTRAPESADO",IF(U22&lt;=100,IF(U22&gt;=60,"PESADO",IF(U22&lt;60,IF(U22&gt;=30,"MEDIANO","LIVIANO")))))</f>
        <v>LIVIANO</v>
      </c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I23" s="58" t="s">
        <v>48</v>
      </c>
      <c r="AJ23" s="52" t="str">
        <f>IF(A23=0,"NORMA", +VLOOKUP(A23,[3]!AREA2014A,15))</f>
        <v>A36</v>
      </c>
      <c r="AL23" s="54" t="str">
        <f>AL22</f>
        <v>TCL2</v>
      </c>
      <c r="AM23" s="54" t="s">
        <v>49</v>
      </c>
    </row>
    <row r="24" spans="1:39" x14ac:dyDescent="0.2">
      <c r="A24" s="52">
        <v>979</v>
      </c>
      <c r="B24" s="53">
        <f>B21</f>
        <v>1</v>
      </c>
      <c r="C24" s="54" t="s">
        <v>48</v>
      </c>
      <c r="D24" s="52" t="s">
        <v>73</v>
      </c>
      <c r="E24" s="54" t="s">
        <v>46</v>
      </c>
      <c r="F24" s="217" t="str">
        <f>IF(A24=0,"SERIE",+VLOOKUP(A24,[3]!AREA2014A,3))</f>
        <v>PLE 15mm</v>
      </c>
      <c r="G24" s="54" t="s">
        <v>55</v>
      </c>
      <c r="H24" s="55">
        <f>IF(A24=0,"PESOU",+VLOOKUP(A24,[3]!AREA2014A,4))*$B$2</f>
        <v>117.75</v>
      </c>
      <c r="I24" s="56" t="str">
        <f>IF(A24=0,"CODIGO", +VLOOKUP(A24,[3]!AREA2014A,13))</f>
        <v>12.54.52.420.00</v>
      </c>
      <c r="J24" s="57">
        <v>149</v>
      </c>
      <c r="K24" s="57">
        <v>144</v>
      </c>
      <c r="L24" s="57">
        <v>3.3000000000000002E-2</v>
      </c>
      <c r="M24" s="57">
        <v>7.0000000000000007E-2</v>
      </c>
      <c r="N24" s="57" t="s">
        <v>48</v>
      </c>
      <c r="O24" s="58">
        <v>2</v>
      </c>
      <c r="P24" s="58">
        <f>O24*$P$21</f>
        <v>2</v>
      </c>
      <c r="Q24" s="59">
        <f>IF(K24="",+H24/1000*J24,+H24/1000*J24/1000*K24)</f>
        <v>2.5264440000000001</v>
      </c>
      <c r="R24" s="58">
        <f>+Q24*O24</f>
        <v>5.0528880000000003</v>
      </c>
      <c r="S24" s="58">
        <f>+Q24*P24</f>
        <v>5.0528880000000003</v>
      </c>
      <c r="T24" s="58"/>
      <c r="U24" s="58"/>
      <c r="V24" s="54" t="str">
        <f>IF(U21&gt;100,"EXTRAPESADO",IF(U21&lt;=100,IF(U21&gt;=60,"PESADO",IF(U21&lt;60,IF(U21&gt;=30,"MEDIANO","LIVIANO")))))</f>
        <v>PESADO</v>
      </c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I24" s="58" t="s">
        <v>48</v>
      </c>
      <c r="AJ24" s="52" t="str">
        <f>IF(A24=0,"NORMA", +VLOOKUP(A24,[3]!AREA2014A,15))</f>
        <v>A572 G50</v>
      </c>
      <c r="AL24" s="54" t="str">
        <f>AL22</f>
        <v>TCL2</v>
      </c>
      <c r="AM24" s="54" t="s">
        <v>49</v>
      </c>
    </row>
    <row r="25" spans="1:39" x14ac:dyDescent="0.2">
      <c r="A25" s="52">
        <v>693</v>
      </c>
      <c r="B25" s="53">
        <f>B21</f>
        <v>1</v>
      </c>
      <c r="C25" s="54" t="s">
        <v>48</v>
      </c>
      <c r="D25" s="52" t="s">
        <v>56</v>
      </c>
      <c r="E25" s="54" t="s">
        <v>57</v>
      </c>
      <c r="F25" s="54" t="str">
        <f>IF(A25=0,"SERIE",+VLOOKUP(A25,[3]!AREA2014A,3))</f>
        <v>PLE 20mm</v>
      </c>
      <c r="G25" s="54" t="s">
        <v>58</v>
      </c>
      <c r="H25" s="55">
        <f>IF(A25=0,"PESOU",+VLOOKUP(A25,[3]!AREA2014A,4))*$B$2</f>
        <v>157</v>
      </c>
      <c r="I25" s="56" t="str">
        <f>IF(A25=0,"CODIGO", +VLOOKUP(A25,[3]!AREA2014A,13))</f>
        <v>12.54.52.470.03</v>
      </c>
      <c r="J25" s="57">
        <v>460</v>
      </c>
      <c r="K25" s="57">
        <v>460</v>
      </c>
      <c r="L25" s="57">
        <v>0.46</v>
      </c>
      <c r="M25" s="57">
        <v>0.46</v>
      </c>
      <c r="N25" s="57" t="s">
        <v>48</v>
      </c>
      <c r="O25" s="58">
        <v>1</v>
      </c>
      <c r="P25" s="58">
        <f>O25*$P$21</f>
        <v>1</v>
      </c>
      <c r="Q25" s="59">
        <f>IF(K25="",+H25/1000*J25,+H25/1000*J25/1000*K25)</f>
        <v>33.221199999999996</v>
      </c>
      <c r="R25" s="58">
        <f>+Q25*O25</f>
        <v>33.221199999999996</v>
      </c>
      <c r="S25" s="58">
        <f>+Q25*P25</f>
        <v>33.221199999999996</v>
      </c>
      <c r="T25" s="58"/>
      <c r="U25" s="58"/>
      <c r="V25" s="54" t="str">
        <f>IF(U21&gt;100,"EXTRAPESADO",IF(U21&lt;=100,IF(U21&gt;=60,"PESADO",IF(U21&lt;60,IF(U21&gt;=30,"MEDIANO","LIVIANO")))))</f>
        <v>PESADO</v>
      </c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I25" s="58" t="s">
        <v>48</v>
      </c>
      <c r="AJ25" s="52" t="str">
        <f>IF(A25=0,"NORMA", +VLOOKUP(A25,[3]!AREA2014A,15))</f>
        <v>A36</v>
      </c>
      <c r="AL25" s="54" t="str">
        <f>AL24</f>
        <v>TCL2</v>
      </c>
      <c r="AM25" s="54" t="s">
        <v>49</v>
      </c>
    </row>
    <row r="26" spans="1:39" x14ac:dyDescent="0.2">
      <c r="A26" s="60"/>
      <c r="B26" s="60">
        <v>1</v>
      </c>
      <c r="C26" s="61">
        <v>5</v>
      </c>
      <c r="D26" s="43" t="s">
        <v>74</v>
      </c>
      <c r="E26" s="43" t="s">
        <v>793</v>
      </c>
      <c r="F26" s="43" t="str">
        <f>F27</f>
        <v>PLE 12mm</v>
      </c>
      <c r="G26" s="61" t="str">
        <f>G27</f>
        <v>HEB300</v>
      </c>
      <c r="H26" s="62" t="s">
        <v>48</v>
      </c>
      <c r="I26" s="62"/>
      <c r="J26" s="63">
        <f>MAX(J27:J32)</f>
        <v>5076</v>
      </c>
      <c r="K26" s="63" t="s">
        <v>48</v>
      </c>
      <c r="L26" s="64" t="s">
        <v>48</v>
      </c>
      <c r="M26" s="64" t="s">
        <v>48</v>
      </c>
      <c r="N26" s="63">
        <v>10.199999999999999</v>
      </c>
      <c r="O26" s="63">
        <v>1</v>
      </c>
      <c r="P26" s="63">
        <f>O26*TOTALES!$A$1</f>
        <v>1</v>
      </c>
      <c r="Q26" s="64">
        <f>+R26</f>
        <v>698.92129599999998</v>
      </c>
      <c r="R26" s="64">
        <f>SUM(R27:R32)</f>
        <v>698.92129599999998</v>
      </c>
      <c r="S26" s="64" t="s">
        <v>48</v>
      </c>
      <c r="T26" s="64">
        <f>+R26*P26</f>
        <v>698.92129599999998</v>
      </c>
      <c r="U26" s="64">
        <f>R26/(J26/1000)</f>
        <v>137.69135066981877</v>
      </c>
      <c r="V26" s="43" t="str">
        <f>IF(U26&gt;100,"EXTRAPESADO",IF(U26&lt;=100,IF(U26&gt;=60,"PESADO",IF(U26&lt;60,IF(U26&gt;=30,"MEDIANO","LIVIANO")))))</f>
        <v>EXTRAPESADO</v>
      </c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5"/>
      <c r="AI26" s="64" t="s">
        <v>48</v>
      </c>
      <c r="AJ26" s="61" t="str">
        <f>AJ27</f>
        <v>A36</v>
      </c>
      <c r="AK26" s="51"/>
      <c r="AL26" s="43" t="str">
        <f>D26</f>
        <v>TCL3</v>
      </c>
      <c r="AM26" s="43" t="s">
        <v>49</v>
      </c>
    </row>
    <row r="27" spans="1:39" x14ac:dyDescent="0.2">
      <c r="A27" s="52">
        <v>687</v>
      </c>
      <c r="B27" s="53">
        <f>B26</f>
        <v>1</v>
      </c>
      <c r="C27" s="54" t="s">
        <v>48</v>
      </c>
      <c r="D27" s="52" t="s">
        <v>74</v>
      </c>
      <c r="E27" s="54" t="s">
        <v>347</v>
      </c>
      <c r="F27" s="54" t="str">
        <f>IF(A27=0,"SERIE",+VLOOKUP(A27,[3]!AREA2014A,3))</f>
        <v>PLE 12mm</v>
      </c>
      <c r="G27" s="204" t="s">
        <v>53</v>
      </c>
      <c r="H27" s="55">
        <f>IF(A27=0,"PESOU",+VLOOKUP(A27,[3]!AREA2014A,4))*$B$2</f>
        <v>94.2</v>
      </c>
      <c r="I27" s="56" t="str">
        <f>IF(A27=0,"CODIGO", +VLOOKUP(A27,[3]!AREA2014A,13))</f>
        <v>12.54.52.390.00</v>
      </c>
      <c r="J27" s="57">
        <v>5076</v>
      </c>
      <c r="K27" s="57">
        <f>300-40</f>
        <v>260</v>
      </c>
      <c r="L27" s="57">
        <v>9.0540000000000003</v>
      </c>
      <c r="M27" s="57">
        <v>9.0500000000000007</v>
      </c>
      <c r="N27" s="57" t="s">
        <v>48</v>
      </c>
      <c r="O27" s="58">
        <v>1</v>
      </c>
      <c r="P27" s="58">
        <f t="shared" ref="P27:P32" si="9">O27*$P$26</f>
        <v>1</v>
      </c>
      <c r="Q27" s="59">
        <f t="shared" ref="Q27:Q32" si="10">IF(K27="",+H27/1000*J27,+H27/1000*J27/1000*K27)</f>
        <v>124.32139200000002</v>
      </c>
      <c r="R27" s="58">
        <f t="shared" ref="R27:R32" si="11">+Q27*O27</f>
        <v>124.32139200000002</v>
      </c>
      <c r="S27" s="58">
        <f t="shared" ref="S27:S32" si="12">+Q27*P27</f>
        <v>124.32139200000002</v>
      </c>
      <c r="T27" s="58"/>
      <c r="U27" s="58"/>
      <c r="V27" s="54" t="str">
        <f>IF(U26&gt;100,"EXTRAPESADO",IF(U26&lt;=100,IF(U26&gt;=60,"PESADO",IF(U26&lt;60,IF(U26&gt;=30,"MEDIANO","LIVIANO")))))</f>
        <v>EXTRAPESADO</v>
      </c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I27" s="58" t="s">
        <v>48</v>
      </c>
      <c r="AJ27" s="52" t="str">
        <f>IF(A27=0,"NORMA", +VLOOKUP(A27,[3]!AREA2014A,15))</f>
        <v>A36</v>
      </c>
      <c r="AL27" s="54" t="str">
        <f>AL26</f>
        <v>TCL3</v>
      </c>
      <c r="AM27" s="54" t="s">
        <v>49</v>
      </c>
    </row>
    <row r="28" spans="1:39" x14ac:dyDescent="0.2">
      <c r="A28" s="52">
        <v>693</v>
      </c>
      <c r="B28" s="53">
        <f>B27</f>
        <v>1</v>
      </c>
      <c r="C28" s="54" t="s">
        <v>48</v>
      </c>
      <c r="D28" s="52" t="s">
        <v>74</v>
      </c>
      <c r="E28" s="54" t="s">
        <v>791</v>
      </c>
      <c r="F28" s="54" t="str">
        <f>IF(A28=0,"SERIE",+VLOOKUP(A28,[3]!AREA2014A,3))</f>
        <v>PLE 20mm</v>
      </c>
      <c r="G28" s="204" t="s">
        <v>53</v>
      </c>
      <c r="H28" s="55">
        <f>IF(A28=0,"PESOU",+VLOOKUP(A28,[3]!AREA2014A,4))*$B$2</f>
        <v>157</v>
      </c>
      <c r="I28" s="56" t="str">
        <f>IF(A28=0,"CODIGO", +VLOOKUP(A28,[3]!AREA2014A,13))</f>
        <v>12.54.52.470.03</v>
      </c>
      <c r="J28" s="57">
        <v>5076</v>
      </c>
      <c r="K28" s="57">
        <v>300</v>
      </c>
      <c r="L28" s="57">
        <v>9.0540000000000003</v>
      </c>
      <c r="M28" s="57">
        <v>9.0500000000000007</v>
      </c>
      <c r="N28" s="57" t="s">
        <v>48</v>
      </c>
      <c r="O28" s="58">
        <v>2</v>
      </c>
      <c r="P28" s="58">
        <f t="shared" si="9"/>
        <v>2</v>
      </c>
      <c r="Q28" s="59">
        <f t="shared" si="10"/>
        <v>239.0796</v>
      </c>
      <c r="R28" s="58">
        <f t="shared" si="11"/>
        <v>478.1592</v>
      </c>
      <c r="S28" s="58">
        <f t="shared" si="12"/>
        <v>478.1592</v>
      </c>
      <c r="T28" s="58"/>
      <c r="U28" s="58"/>
      <c r="V28" s="54" t="str">
        <f>IF(U27&gt;100,"EXTRAPESADO",IF(U27&lt;=100,IF(U27&gt;=60,"PESADO",IF(U27&lt;60,IF(U27&gt;=30,"MEDIANO","LIVIANO")))))</f>
        <v>LIVIANO</v>
      </c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I28" s="58" t="s">
        <v>48</v>
      </c>
      <c r="AJ28" s="52" t="str">
        <f>IF(A28=0,"NORMA", +VLOOKUP(A28,[3]!AREA2014A,15))</f>
        <v>A36</v>
      </c>
      <c r="AL28" s="54" t="str">
        <f>AL27</f>
        <v>TCL3</v>
      </c>
      <c r="AM28" s="54" t="s">
        <v>49</v>
      </c>
    </row>
    <row r="29" spans="1:39" x14ac:dyDescent="0.2">
      <c r="A29" s="52">
        <v>693</v>
      </c>
      <c r="B29" s="53">
        <f>B26</f>
        <v>1</v>
      </c>
      <c r="C29" s="54" t="s">
        <v>48</v>
      </c>
      <c r="D29" s="52" t="s">
        <v>75</v>
      </c>
      <c r="E29" s="54" t="s">
        <v>46</v>
      </c>
      <c r="F29" s="54" t="str">
        <f>IF(A29=0,"SERIE",+VLOOKUP(A29,[3]!AREA2014A,3))</f>
        <v>PLE 20mm</v>
      </c>
      <c r="G29" s="54" t="s">
        <v>76</v>
      </c>
      <c r="H29" s="55">
        <f>IF(A29=0,"PESOU",+VLOOKUP(A29,[3]!AREA2014A,4))*$B$2</f>
        <v>157</v>
      </c>
      <c r="I29" s="56" t="str">
        <f>IF(A29=0,"CODIGO", +VLOOKUP(A29,[3]!AREA2014A,13))</f>
        <v>12.54.52.470.03</v>
      </c>
      <c r="J29" s="57">
        <v>258</v>
      </c>
      <c r="K29" s="57">
        <v>143</v>
      </c>
      <c r="L29" s="57">
        <v>8.7999999999999995E-2</v>
      </c>
      <c r="M29" s="57">
        <v>0.35</v>
      </c>
      <c r="N29" s="57" t="s">
        <v>48</v>
      </c>
      <c r="O29" s="58">
        <v>4</v>
      </c>
      <c r="P29" s="58">
        <f t="shared" si="9"/>
        <v>4</v>
      </c>
      <c r="Q29" s="59">
        <f t="shared" si="10"/>
        <v>5.7923580000000001</v>
      </c>
      <c r="R29" s="58">
        <f t="shared" si="11"/>
        <v>23.169432</v>
      </c>
      <c r="S29" s="58">
        <f t="shared" si="12"/>
        <v>23.169432</v>
      </c>
      <c r="T29" s="58"/>
      <c r="U29" s="58"/>
      <c r="V29" s="54" t="str">
        <f>IF(U26&gt;100,"EXTRAPESADO",IF(U26&lt;=100,IF(U26&gt;=60,"PESADO",IF(U26&lt;60,IF(U26&gt;=30,"MEDIANO","LIVIANO")))))</f>
        <v>EXTRAPESADO</v>
      </c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I29" s="58" t="s">
        <v>48</v>
      </c>
      <c r="AJ29" s="52" t="str">
        <f>IF(A29=0,"NORMA", +VLOOKUP(A29,[3]!AREA2014A,15))</f>
        <v>A36</v>
      </c>
      <c r="AL29" s="54" t="str">
        <f>AL27</f>
        <v>TCL3</v>
      </c>
      <c r="AM29" s="54" t="s">
        <v>49</v>
      </c>
    </row>
    <row r="30" spans="1:39" x14ac:dyDescent="0.2">
      <c r="A30" s="52">
        <v>693</v>
      </c>
      <c r="B30" s="53">
        <f>B26</f>
        <v>1</v>
      </c>
      <c r="C30" s="54" t="s">
        <v>48</v>
      </c>
      <c r="D30" s="52" t="s">
        <v>75</v>
      </c>
      <c r="E30" s="54" t="s">
        <v>46</v>
      </c>
      <c r="F30" s="217" t="str">
        <f>IF(A30=0,"SERIE",+VLOOKUP(A30,[3]!AREA2014A,3))</f>
        <v>PLE 20mm</v>
      </c>
      <c r="G30" s="54" t="s">
        <v>77</v>
      </c>
      <c r="H30" s="55">
        <f>IF(A30=0,"PESOU",+VLOOKUP(A30,[3]!AREA2014A,4))*$B$2</f>
        <v>157</v>
      </c>
      <c r="I30" s="56" t="str">
        <f>IF(A30=0,"CODIGO", +VLOOKUP(A30,[3]!AREA2014A,13))</f>
        <v>12.54.52.470.03</v>
      </c>
      <c r="J30" s="57">
        <v>258</v>
      </c>
      <c r="K30" s="57">
        <v>144</v>
      </c>
      <c r="L30" s="57">
        <v>8.8999999999999996E-2</v>
      </c>
      <c r="M30" s="57">
        <v>0.53</v>
      </c>
      <c r="N30" s="57" t="s">
        <v>48</v>
      </c>
      <c r="O30" s="58">
        <v>6</v>
      </c>
      <c r="P30" s="58">
        <f t="shared" si="9"/>
        <v>6</v>
      </c>
      <c r="Q30" s="59">
        <f t="shared" si="10"/>
        <v>5.8328639999999998</v>
      </c>
      <c r="R30" s="58">
        <f t="shared" si="11"/>
        <v>34.997183999999997</v>
      </c>
      <c r="S30" s="58">
        <f t="shared" si="12"/>
        <v>34.997183999999997</v>
      </c>
      <c r="T30" s="58"/>
      <c r="U30" s="58"/>
      <c r="V30" s="54" t="str">
        <f>IF(U26&gt;100,"EXTRAPESADO",IF(U26&lt;=100,IF(U26&gt;=60,"PESADO",IF(U26&lt;60,IF(U26&gt;=30,"MEDIANO","LIVIANO")))))</f>
        <v>EXTRAPESADO</v>
      </c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I30" s="58" t="s">
        <v>48</v>
      </c>
      <c r="AJ30" s="52" t="str">
        <f>IF(A30=0,"NORMA", +VLOOKUP(A30,[3]!AREA2014A,15))</f>
        <v>A36</v>
      </c>
      <c r="AL30" s="54" t="str">
        <f>AL29</f>
        <v>TCL3</v>
      </c>
      <c r="AM30" s="54" t="s">
        <v>49</v>
      </c>
    </row>
    <row r="31" spans="1:39" x14ac:dyDescent="0.2">
      <c r="A31" s="52">
        <v>979</v>
      </c>
      <c r="B31" s="53">
        <f>B26</f>
        <v>1</v>
      </c>
      <c r="C31" s="54" t="s">
        <v>48</v>
      </c>
      <c r="D31" s="52" t="s">
        <v>54</v>
      </c>
      <c r="E31" s="54" t="s">
        <v>46</v>
      </c>
      <c r="F31" s="217" t="str">
        <f>IF(A31=0,"SERIE",+VLOOKUP(A31,[3]!AREA2014A,3))</f>
        <v>PLE 15mm</v>
      </c>
      <c r="G31" s="54" t="s">
        <v>55</v>
      </c>
      <c r="H31" s="55">
        <f>IF(A31=0,"PESOU",+VLOOKUP(A31,[3]!AREA2014A,4))*$B$2</f>
        <v>117.75</v>
      </c>
      <c r="I31" s="56" t="str">
        <f>IF(A31=0,"CODIGO", +VLOOKUP(A31,[3]!AREA2014A,13))</f>
        <v>12.54.52.420.00</v>
      </c>
      <c r="J31" s="57">
        <v>149</v>
      </c>
      <c r="K31" s="57">
        <v>144</v>
      </c>
      <c r="L31" s="57">
        <v>3.3000000000000002E-2</v>
      </c>
      <c r="M31" s="57">
        <v>7.0000000000000007E-2</v>
      </c>
      <c r="N31" s="57" t="s">
        <v>48</v>
      </c>
      <c r="O31" s="58">
        <v>2</v>
      </c>
      <c r="P31" s="58">
        <f t="shared" si="9"/>
        <v>2</v>
      </c>
      <c r="Q31" s="59">
        <f t="shared" si="10"/>
        <v>2.5264440000000001</v>
      </c>
      <c r="R31" s="58">
        <f t="shared" si="11"/>
        <v>5.0528880000000003</v>
      </c>
      <c r="S31" s="58">
        <f t="shared" si="12"/>
        <v>5.0528880000000003</v>
      </c>
      <c r="T31" s="58"/>
      <c r="U31" s="58"/>
      <c r="V31" s="54" t="str">
        <f>IF(U26&gt;100,"EXTRAPESADO",IF(U26&lt;=100,IF(U26&gt;=60,"PESADO",IF(U26&lt;60,IF(U26&gt;=30,"MEDIANO","LIVIANO")))))</f>
        <v>EXTRAPESADO</v>
      </c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I31" s="58" t="s">
        <v>48</v>
      </c>
      <c r="AJ31" s="52" t="str">
        <f>IF(A31=0,"NORMA", +VLOOKUP(A31,[3]!AREA2014A,15))</f>
        <v>A572 G50</v>
      </c>
      <c r="AL31" s="54" t="str">
        <f>AL30</f>
        <v>TCL3</v>
      </c>
      <c r="AM31" s="54" t="s">
        <v>49</v>
      </c>
    </row>
    <row r="32" spans="1:39" x14ac:dyDescent="0.2">
      <c r="A32" s="52">
        <v>693</v>
      </c>
      <c r="B32" s="53">
        <f>B26</f>
        <v>1</v>
      </c>
      <c r="C32" s="54" t="s">
        <v>48</v>
      </c>
      <c r="D32" s="52" t="s">
        <v>56</v>
      </c>
      <c r="E32" s="54" t="s">
        <v>57</v>
      </c>
      <c r="F32" s="54" t="str">
        <f>IF(A32=0,"SERIE",+VLOOKUP(A32,[3]!AREA2014A,3))</f>
        <v>PLE 20mm</v>
      </c>
      <c r="G32" s="54" t="s">
        <v>58</v>
      </c>
      <c r="H32" s="55">
        <f>IF(A32=0,"PESOU",+VLOOKUP(A32,[3]!AREA2014A,4))*$B$2</f>
        <v>157</v>
      </c>
      <c r="I32" s="56" t="str">
        <f>IF(A32=0,"CODIGO", +VLOOKUP(A32,[3]!AREA2014A,13))</f>
        <v>12.54.52.470.03</v>
      </c>
      <c r="J32" s="57">
        <v>460</v>
      </c>
      <c r="K32" s="57">
        <v>460</v>
      </c>
      <c r="L32" s="57">
        <v>0.46</v>
      </c>
      <c r="M32" s="57">
        <v>0.46</v>
      </c>
      <c r="N32" s="57" t="s">
        <v>48</v>
      </c>
      <c r="O32" s="58">
        <v>1</v>
      </c>
      <c r="P32" s="58">
        <f t="shared" si="9"/>
        <v>1</v>
      </c>
      <c r="Q32" s="59">
        <f t="shared" si="10"/>
        <v>33.221199999999996</v>
      </c>
      <c r="R32" s="58">
        <f t="shared" si="11"/>
        <v>33.221199999999996</v>
      </c>
      <c r="S32" s="58">
        <f t="shared" si="12"/>
        <v>33.221199999999996</v>
      </c>
      <c r="T32" s="58"/>
      <c r="U32" s="58"/>
      <c r="V32" s="54" t="str">
        <f>IF(U26&gt;100,"EXTRAPESADO",IF(U26&lt;=100,IF(U26&gt;=60,"PESADO",IF(U26&lt;60,IF(U26&gt;=30,"MEDIANO","LIVIANO")))))</f>
        <v>EXTRAPESADO</v>
      </c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I32" s="58" t="s">
        <v>48</v>
      </c>
      <c r="AJ32" s="52" t="str">
        <f>IF(A32=0,"NORMA", +VLOOKUP(A32,[3]!AREA2014A,15))</f>
        <v>A36</v>
      </c>
      <c r="AL32" s="54" t="str">
        <f>AL31</f>
        <v>TCL3</v>
      </c>
      <c r="AM32" s="54" t="s">
        <v>49</v>
      </c>
    </row>
    <row r="33" spans="1:39" x14ac:dyDescent="0.2">
      <c r="A33" s="60"/>
      <c r="B33" s="60">
        <v>1</v>
      </c>
      <c r="C33" s="61">
        <v>6</v>
      </c>
      <c r="D33" s="43" t="s">
        <v>78</v>
      </c>
      <c r="E33" s="43" t="s">
        <v>793</v>
      </c>
      <c r="F33" s="43" t="str">
        <f>F34</f>
        <v>PLE 12mm</v>
      </c>
      <c r="G33" s="61" t="str">
        <f>G34</f>
        <v>HEB300</v>
      </c>
      <c r="H33" s="62" t="s">
        <v>48</v>
      </c>
      <c r="I33" s="62"/>
      <c r="J33" s="63">
        <f>MAX(J34:J43)</f>
        <v>5076</v>
      </c>
      <c r="K33" s="63" t="s">
        <v>48</v>
      </c>
      <c r="L33" s="64" t="s">
        <v>48</v>
      </c>
      <c r="M33" s="64" t="s">
        <v>48</v>
      </c>
      <c r="N33" s="63">
        <v>11.3</v>
      </c>
      <c r="O33" s="63">
        <v>1</v>
      </c>
      <c r="P33" s="63">
        <f>O33*TOTALES!$A$1</f>
        <v>1</v>
      </c>
      <c r="Q33" s="64">
        <f>+R33</f>
        <v>764.46753999999999</v>
      </c>
      <c r="R33" s="64">
        <f>SUM(R34:R43)</f>
        <v>764.46753999999999</v>
      </c>
      <c r="S33" s="64" t="s">
        <v>48</v>
      </c>
      <c r="T33" s="64">
        <f>+R33*P33</f>
        <v>764.46753999999999</v>
      </c>
      <c r="U33" s="64">
        <f>R33/(J33/1000)</f>
        <v>150.60432230102444</v>
      </c>
      <c r="V33" s="43" t="str">
        <f>IF(U33&gt;100,"EXTRAPESADO",IF(U33&lt;=100,IF(U33&gt;=60,"PESADO",IF(U33&lt;60,IF(U33&gt;=30,"MEDIANO","LIVIANO")))))</f>
        <v>EXTRAPESADO</v>
      </c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5"/>
      <c r="AI33" s="64" t="s">
        <v>48</v>
      </c>
      <c r="AJ33" s="61" t="str">
        <f>AJ34</f>
        <v>A36</v>
      </c>
      <c r="AK33" s="51"/>
      <c r="AL33" s="43" t="str">
        <f>D33</f>
        <v>TCL4</v>
      </c>
      <c r="AM33" s="43" t="s">
        <v>49</v>
      </c>
    </row>
    <row r="34" spans="1:39" x14ac:dyDescent="0.2">
      <c r="A34" s="52">
        <v>687</v>
      </c>
      <c r="B34" s="53">
        <f>B33</f>
        <v>1</v>
      </c>
      <c r="C34" s="54" t="s">
        <v>48</v>
      </c>
      <c r="D34" s="52" t="s">
        <v>78</v>
      </c>
      <c r="E34" s="54" t="s">
        <v>347</v>
      </c>
      <c r="F34" s="54" t="str">
        <f>IF(A34=0,"SERIE",+VLOOKUP(A34,[3]!AREA2014A,3))</f>
        <v>PLE 12mm</v>
      </c>
      <c r="G34" s="204" t="s">
        <v>53</v>
      </c>
      <c r="H34" s="55">
        <f>IF(A34=0,"PESOU",+VLOOKUP(A34,[3]!AREA2014A,4))*$B$2</f>
        <v>94.2</v>
      </c>
      <c r="I34" s="56" t="str">
        <f>IF(A34=0,"CODIGO", +VLOOKUP(A34,[3]!AREA2014A,13))</f>
        <v>12.54.52.390.00</v>
      </c>
      <c r="J34" s="57">
        <v>5076</v>
      </c>
      <c r="K34" s="57">
        <f>300-40</f>
        <v>260</v>
      </c>
      <c r="L34" s="57">
        <v>9.0540000000000003</v>
      </c>
      <c r="M34" s="57">
        <v>9.0500000000000007</v>
      </c>
      <c r="N34" s="57" t="s">
        <v>48</v>
      </c>
      <c r="O34" s="58">
        <v>1</v>
      </c>
      <c r="P34" s="58">
        <f t="shared" ref="P34:P43" si="13">O34*$P$33</f>
        <v>1</v>
      </c>
      <c r="Q34" s="59">
        <f t="shared" ref="Q34:Q43" si="14">IF(K34="",+H34/1000*J34,+H34/1000*J34/1000*K34)</f>
        <v>124.32139200000002</v>
      </c>
      <c r="R34" s="58">
        <f t="shared" ref="R34:R43" si="15">+Q34*O34</f>
        <v>124.32139200000002</v>
      </c>
      <c r="S34" s="58">
        <f t="shared" ref="S34:S43" si="16">+Q34*P34</f>
        <v>124.32139200000002</v>
      </c>
      <c r="T34" s="58"/>
      <c r="U34" s="58"/>
      <c r="V34" s="54" t="str">
        <f>IF(U33&gt;100,"EXTRAPESADO",IF(U33&lt;=100,IF(U33&gt;=60,"PESADO",IF(U33&lt;60,IF(U33&gt;=30,"MEDIANO","LIVIANO")))))</f>
        <v>EXTRAPESADO</v>
      </c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I34" s="58" t="s">
        <v>48</v>
      </c>
      <c r="AJ34" s="52" t="str">
        <f>IF(A34=0,"NORMA", +VLOOKUP(A34,[3]!AREA2014A,15))</f>
        <v>A36</v>
      </c>
      <c r="AL34" s="54" t="str">
        <f t="shared" ref="AL34:AL43" si="17">AL33</f>
        <v>TCL4</v>
      </c>
      <c r="AM34" s="54" t="s">
        <v>49</v>
      </c>
    </row>
    <row r="35" spans="1:39" x14ac:dyDescent="0.2">
      <c r="A35" s="52">
        <v>693</v>
      </c>
      <c r="B35" s="53">
        <f>B34</f>
        <v>1</v>
      </c>
      <c r="C35" s="54" t="s">
        <v>48</v>
      </c>
      <c r="D35" s="52" t="s">
        <v>78</v>
      </c>
      <c r="E35" s="54" t="s">
        <v>791</v>
      </c>
      <c r="F35" s="54" t="str">
        <f>IF(A35=0,"SERIE",+VLOOKUP(A35,[3]!AREA2014A,3))</f>
        <v>PLE 20mm</v>
      </c>
      <c r="G35" s="204" t="s">
        <v>53</v>
      </c>
      <c r="H35" s="55">
        <f>IF(A35=0,"PESOU",+VLOOKUP(A35,[3]!AREA2014A,4))*$B$2</f>
        <v>157</v>
      </c>
      <c r="I35" s="56" t="str">
        <f>IF(A35=0,"CODIGO", +VLOOKUP(A35,[3]!AREA2014A,13))</f>
        <v>12.54.52.470.03</v>
      </c>
      <c r="J35" s="57">
        <v>5076</v>
      </c>
      <c r="K35" s="57">
        <v>300</v>
      </c>
      <c r="L35" s="57">
        <v>9.0540000000000003</v>
      </c>
      <c r="M35" s="57">
        <v>9.0500000000000007</v>
      </c>
      <c r="N35" s="57" t="s">
        <v>48</v>
      </c>
      <c r="O35" s="58">
        <v>2</v>
      </c>
      <c r="P35" s="58">
        <f t="shared" si="13"/>
        <v>2</v>
      </c>
      <c r="Q35" s="59">
        <f t="shared" ref="Q35" si="18">IF(K35="",+H35/1000*J35,+H35/1000*J35/1000*K35)</f>
        <v>239.0796</v>
      </c>
      <c r="R35" s="58">
        <f t="shared" ref="R35" si="19">+Q35*O35</f>
        <v>478.1592</v>
      </c>
      <c r="S35" s="58">
        <f t="shared" ref="S35" si="20">+Q35*P35</f>
        <v>478.1592</v>
      </c>
      <c r="T35" s="58"/>
      <c r="U35" s="58"/>
      <c r="V35" s="54" t="str">
        <f>IF(U34&gt;100,"EXTRAPESADO",IF(U34&lt;=100,IF(U34&gt;=60,"PESADO",IF(U34&lt;60,IF(U34&gt;=30,"MEDIANO","LIVIANO")))))</f>
        <v>LIVIANO</v>
      </c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I35" s="58" t="s">
        <v>48</v>
      </c>
      <c r="AJ35" s="52" t="str">
        <f>IF(A35=0,"NORMA", +VLOOKUP(A35,[3]!AREA2014A,15))</f>
        <v>A36</v>
      </c>
      <c r="AL35" s="54" t="str">
        <f t="shared" ref="AL35" si="21">AL34</f>
        <v>TCL4</v>
      </c>
      <c r="AM35" s="54" t="s">
        <v>49</v>
      </c>
    </row>
    <row r="36" spans="1:39" x14ac:dyDescent="0.2">
      <c r="A36" s="52">
        <v>979</v>
      </c>
      <c r="B36" s="53">
        <f>B33</f>
        <v>1</v>
      </c>
      <c r="C36" s="54" t="s">
        <v>48</v>
      </c>
      <c r="D36" s="52" t="s">
        <v>54</v>
      </c>
      <c r="E36" s="54" t="s">
        <v>46</v>
      </c>
      <c r="F36" s="217" t="str">
        <f>IF(A36=0,"SERIE",+VLOOKUP(A36,[3]!AREA2014A,3))</f>
        <v>PLE 15mm</v>
      </c>
      <c r="G36" s="54" t="s">
        <v>55</v>
      </c>
      <c r="H36" s="55">
        <f>IF(A36=0,"PESOU",+VLOOKUP(A36,[3]!AREA2014A,4))*$B$2</f>
        <v>117.75</v>
      </c>
      <c r="I36" s="56" t="str">
        <f>IF(A36=0,"CODIGO", +VLOOKUP(A36,[3]!AREA2014A,13))</f>
        <v>12.54.52.420.00</v>
      </c>
      <c r="J36" s="57">
        <v>149</v>
      </c>
      <c r="K36" s="57">
        <v>144</v>
      </c>
      <c r="L36" s="57">
        <v>3.3000000000000002E-2</v>
      </c>
      <c r="M36" s="57">
        <v>7.0000000000000007E-2</v>
      </c>
      <c r="N36" s="57" t="s">
        <v>48</v>
      </c>
      <c r="O36" s="58">
        <v>2</v>
      </c>
      <c r="P36" s="58">
        <f t="shared" si="13"/>
        <v>2</v>
      </c>
      <c r="Q36" s="59">
        <f t="shared" si="14"/>
        <v>2.5264440000000001</v>
      </c>
      <c r="R36" s="58">
        <f t="shared" si="15"/>
        <v>5.0528880000000003</v>
      </c>
      <c r="S36" s="58">
        <f t="shared" si="16"/>
        <v>5.0528880000000003</v>
      </c>
      <c r="T36" s="58"/>
      <c r="U36" s="58"/>
      <c r="V36" s="54" t="str">
        <f>IF(U33&gt;100,"EXTRAPESADO",IF(U33&lt;=100,IF(U33&gt;=60,"PESADO",IF(U33&lt;60,IF(U33&gt;=30,"MEDIANO","LIVIANO")))))</f>
        <v>EXTRAPESADO</v>
      </c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I36" s="58" t="s">
        <v>48</v>
      </c>
      <c r="AJ36" s="52" t="str">
        <f>IF(A36=0,"NORMA", +VLOOKUP(A36,[3]!AREA2014A,15))</f>
        <v>A572 G50</v>
      </c>
      <c r="AL36" s="54" t="str">
        <f>AL34</f>
        <v>TCL4</v>
      </c>
      <c r="AM36" s="54" t="s">
        <v>49</v>
      </c>
    </row>
    <row r="37" spans="1:39" x14ac:dyDescent="0.2">
      <c r="A37" s="52">
        <v>693</v>
      </c>
      <c r="B37" s="53">
        <f>B33</f>
        <v>1</v>
      </c>
      <c r="C37" s="54" t="s">
        <v>48</v>
      </c>
      <c r="D37" s="52" t="s">
        <v>56</v>
      </c>
      <c r="E37" s="54" t="s">
        <v>57</v>
      </c>
      <c r="F37" s="54" t="str">
        <f>IF(A37=0,"SERIE",+VLOOKUP(A37,[3]!AREA2014A,3))</f>
        <v>PLE 20mm</v>
      </c>
      <c r="G37" s="54" t="s">
        <v>58</v>
      </c>
      <c r="H37" s="55">
        <f>IF(A37=0,"PESOU",+VLOOKUP(A37,[3]!AREA2014A,4))*$B$2</f>
        <v>157</v>
      </c>
      <c r="I37" s="56" t="str">
        <f>IF(A37=0,"CODIGO", +VLOOKUP(A37,[3]!AREA2014A,13))</f>
        <v>12.54.52.470.03</v>
      </c>
      <c r="J37" s="57">
        <v>460</v>
      </c>
      <c r="K37" s="57">
        <v>460</v>
      </c>
      <c r="L37" s="57">
        <v>0.46</v>
      </c>
      <c r="M37" s="57">
        <v>0.46</v>
      </c>
      <c r="N37" s="57" t="s">
        <v>48</v>
      </c>
      <c r="O37" s="58">
        <v>1</v>
      </c>
      <c r="P37" s="58">
        <f t="shared" si="13"/>
        <v>1</v>
      </c>
      <c r="Q37" s="59">
        <f t="shared" si="14"/>
        <v>33.221199999999996</v>
      </c>
      <c r="R37" s="58">
        <f t="shared" si="15"/>
        <v>33.221199999999996</v>
      </c>
      <c r="S37" s="58">
        <f t="shared" si="16"/>
        <v>33.221199999999996</v>
      </c>
      <c r="T37" s="58"/>
      <c r="U37" s="58"/>
      <c r="V37" s="54" t="str">
        <f>IF(U33&gt;100,"EXTRAPESADO",IF(U33&lt;=100,IF(U33&gt;=60,"PESADO",IF(U33&lt;60,IF(U33&gt;=30,"MEDIANO","LIVIANO")))))</f>
        <v>EXTRAPESADO</v>
      </c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I37" s="58" t="s">
        <v>48</v>
      </c>
      <c r="AJ37" s="52" t="str">
        <f>IF(A37=0,"NORMA", +VLOOKUP(A37,[3]!AREA2014A,15))</f>
        <v>A36</v>
      </c>
      <c r="AL37" s="54" t="str">
        <f t="shared" si="17"/>
        <v>TCL4</v>
      </c>
      <c r="AM37" s="54" t="s">
        <v>49</v>
      </c>
    </row>
    <row r="38" spans="1:39" x14ac:dyDescent="0.2">
      <c r="A38" s="52">
        <v>693</v>
      </c>
      <c r="B38" s="53">
        <f>B33</f>
        <v>1</v>
      </c>
      <c r="C38" s="54" t="s">
        <v>48</v>
      </c>
      <c r="D38" s="52" t="s">
        <v>59</v>
      </c>
      <c r="E38" s="54" t="s">
        <v>60</v>
      </c>
      <c r="F38" s="54" t="str">
        <f>IF(A38=0,"SERIE",+VLOOKUP(A38,[3]!AREA2014A,3))</f>
        <v>PLE 20mm</v>
      </c>
      <c r="G38" s="54" t="s">
        <v>61</v>
      </c>
      <c r="H38" s="55">
        <f>IF(A38=0,"PESOU",+VLOOKUP(A38,[3]!AREA2014A,4))*$B$2</f>
        <v>157</v>
      </c>
      <c r="I38" s="56" t="str">
        <f>IF(A38=0,"CODIGO", +VLOOKUP(A38,[3]!AREA2014A,13))</f>
        <v>12.54.52.470.03</v>
      </c>
      <c r="J38" s="57">
        <v>350</v>
      </c>
      <c r="K38" s="57">
        <v>250</v>
      </c>
      <c r="L38" s="57">
        <v>0.19900000000000001</v>
      </c>
      <c r="M38" s="57">
        <v>0.2</v>
      </c>
      <c r="N38" s="57" t="s">
        <v>48</v>
      </c>
      <c r="O38" s="58">
        <v>1</v>
      </c>
      <c r="P38" s="58">
        <f t="shared" si="13"/>
        <v>1</v>
      </c>
      <c r="Q38" s="59">
        <f t="shared" si="14"/>
        <v>13.737500000000001</v>
      </c>
      <c r="R38" s="58">
        <f t="shared" si="15"/>
        <v>13.737500000000001</v>
      </c>
      <c r="S38" s="58">
        <f t="shared" si="16"/>
        <v>13.737500000000001</v>
      </c>
      <c r="T38" s="58"/>
      <c r="U38" s="58"/>
      <c r="V38" s="54" t="str">
        <f>IF(U33&gt;100,"EXTRAPESADO",IF(U33&lt;=100,IF(U33&gt;=60,"PESADO",IF(U33&lt;60,IF(U33&gt;=30,"MEDIANO","LIVIANO")))))</f>
        <v>EXTRAPESADO</v>
      </c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I38" s="58" t="s">
        <v>48</v>
      </c>
      <c r="AJ38" s="52" t="str">
        <f>IF(A38=0,"NORMA", +VLOOKUP(A38,[3]!AREA2014A,15))</f>
        <v>A36</v>
      </c>
      <c r="AL38" s="54" t="str">
        <f t="shared" si="17"/>
        <v>TCL4</v>
      </c>
      <c r="AM38" s="54" t="s">
        <v>49</v>
      </c>
    </row>
    <row r="39" spans="1:39" x14ac:dyDescent="0.2">
      <c r="A39" s="52">
        <v>693</v>
      </c>
      <c r="B39" s="53">
        <f>B33</f>
        <v>1</v>
      </c>
      <c r="C39" s="54" t="s">
        <v>48</v>
      </c>
      <c r="D39" s="52" t="s">
        <v>62</v>
      </c>
      <c r="E39" s="54" t="s">
        <v>46</v>
      </c>
      <c r="F39" s="54" t="str">
        <f>IF(A39=0,"SERIE",+VLOOKUP(A39,[3]!AREA2014A,3))</f>
        <v>PLE 20mm</v>
      </c>
      <c r="G39" s="54" t="s">
        <v>63</v>
      </c>
      <c r="H39" s="55">
        <f>IF(A39=0,"PESOU",+VLOOKUP(A39,[3]!AREA2014A,4))*$B$2</f>
        <v>157</v>
      </c>
      <c r="I39" s="56" t="str">
        <f>IF(A39=0,"CODIGO", +VLOOKUP(A39,[3]!AREA2014A,13))</f>
        <v>12.54.52.470.03</v>
      </c>
      <c r="J39" s="57">
        <v>345</v>
      </c>
      <c r="K39" s="57">
        <v>259</v>
      </c>
      <c r="L39" s="57">
        <v>0.19900000000000001</v>
      </c>
      <c r="M39" s="57">
        <v>0.8</v>
      </c>
      <c r="N39" s="57" t="s">
        <v>48</v>
      </c>
      <c r="O39" s="58">
        <v>4</v>
      </c>
      <c r="P39" s="58">
        <f t="shared" si="13"/>
        <v>4</v>
      </c>
      <c r="Q39" s="59">
        <f t="shared" si="14"/>
        <v>14.028734999999999</v>
      </c>
      <c r="R39" s="58">
        <f t="shared" si="15"/>
        <v>56.114939999999997</v>
      </c>
      <c r="S39" s="58">
        <f t="shared" si="16"/>
        <v>56.114939999999997</v>
      </c>
      <c r="T39" s="58"/>
      <c r="U39" s="58"/>
      <c r="V39" s="54" t="str">
        <f>IF(U33&gt;100,"EXTRAPESADO",IF(U33&lt;=100,IF(U33&gt;=60,"PESADO",IF(U33&lt;60,IF(U33&gt;=30,"MEDIANO","LIVIANO")))))</f>
        <v>EXTRAPESADO</v>
      </c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I39" s="58" t="s">
        <v>48</v>
      </c>
      <c r="AJ39" s="52" t="str">
        <f>IF(A39=0,"NORMA", +VLOOKUP(A39,[3]!AREA2014A,15))</f>
        <v>A36</v>
      </c>
      <c r="AL39" s="54" t="str">
        <f t="shared" si="17"/>
        <v>TCL4</v>
      </c>
      <c r="AM39" s="54" t="s">
        <v>49</v>
      </c>
    </row>
    <row r="40" spans="1:39" x14ac:dyDescent="0.2">
      <c r="A40" s="52">
        <v>693</v>
      </c>
      <c r="B40" s="53">
        <f>B33</f>
        <v>1</v>
      </c>
      <c r="C40" s="54" t="s">
        <v>48</v>
      </c>
      <c r="D40" s="52" t="s">
        <v>64</v>
      </c>
      <c r="E40" s="54" t="s">
        <v>46</v>
      </c>
      <c r="F40" s="54" t="str">
        <f>IF(A40=0,"SERIE",+VLOOKUP(A40,[3]!AREA2014A,3))</f>
        <v>PLE 20mm</v>
      </c>
      <c r="G40" s="54" t="s">
        <v>65</v>
      </c>
      <c r="H40" s="55">
        <f>IF(A40=0,"PESOU",+VLOOKUP(A40,[3]!AREA2014A,4))*$B$2</f>
        <v>157</v>
      </c>
      <c r="I40" s="56" t="str">
        <f>IF(A40=0,"CODIGO", +VLOOKUP(A40,[3]!AREA2014A,13))</f>
        <v>12.54.52.470.03</v>
      </c>
      <c r="J40" s="57">
        <v>258</v>
      </c>
      <c r="K40" s="57">
        <v>145</v>
      </c>
      <c r="L40" s="57">
        <v>8.8999999999999996E-2</v>
      </c>
      <c r="M40" s="57">
        <v>0.36</v>
      </c>
      <c r="N40" s="57" t="s">
        <v>48</v>
      </c>
      <c r="O40" s="58">
        <v>4</v>
      </c>
      <c r="P40" s="58">
        <f t="shared" si="13"/>
        <v>4</v>
      </c>
      <c r="Q40" s="59">
        <f t="shared" si="14"/>
        <v>5.8733700000000004</v>
      </c>
      <c r="R40" s="58">
        <f t="shared" si="15"/>
        <v>23.493480000000002</v>
      </c>
      <c r="S40" s="58">
        <f t="shared" si="16"/>
        <v>23.493480000000002</v>
      </c>
      <c r="T40" s="58"/>
      <c r="U40" s="58"/>
      <c r="V40" s="54" t="str">
        <f>IF(U33&gt;100,"EXTRAPESADO",IF(U33&lt;=100,IF(U33&gt;=60,"PESADO",IF(U33&lt;60,IF(U33&gt;=30,"MEDIANO","LIVIANO")))))</f>
        <v>EXTRAPESADO</v>
      </c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I40" s="58" t="s">
        <v>48</v>
      </c>
      <c r="AJ40" s="52" t="str">
        <f>IF(A40=0,"NORMA", +VLOOKUP(A40,[3]!AREA2014A,15))</f>
        <v>A36</v>
      </c>
      <c r="AL40" s="54" t="str">
        <f t="shared" si="17"/>
        <v>TCL4</v>
      </c>
      <c r="AM40" s="54" t="s">
        <v>49</v>
      </c>
    </row>
    <row r="41" spans="1:39" x14ac:dyDescent="0.2">
      <c r="A41" s="52">
        <v>687</v>
      </c>
      <c r="B41" s="53">
        <f>B33</f>
        <v>1</v>
      </c>
      <c r="C41" s="54" t="s">
        <v>48</v>
      </c>
      <c r="D41" s="52" t="s">
        <v>66</v>
      </c>
      <c r="E41" s="54" t="s">
        <v>46</v>
      </c>
      <c r="F41" s="54" t="str">
        <f>IF(A41=0,"SERIE",+VLOOKUP(A41,[3]!AREA2014A,3))</f>
        <v>PLE 12mm</v>
      </c>
      <c r="G41" s="54" t="s">
        <v>67</v>
      </c>
      <c r="H41" s="55">
        <f>IF(A41=0,"PESOU",+VLOOKUP(A41,[3]!AREA2014A,4))*$B$2</f>
        <v>94.2</v>
      </c>
      <c r="I41" s="56" t="str">
        <f>IF(A41=0,"CODIGO", +VLOOKUP(A41,[3]!AREA2014A,13))</f>
        <v>12.54.52.390.00</v>
      </c>
      <c r="J41" s="57">
        <v>345</v>
      </c>
      <c r="K41" s="57">
        <v>300</v>
      </c>
      <c r="L41" s="57">
        <v>0.219</v>
      </c>
      <c r="M41" s="57">
        <v>0.22</v>
      </c>
      <c r="N41" s="57" t="s">
        <v>48</v>
      </c>
      <c r="O41" s="58">
        <v>1</v>
      </c>
      <c r="P41" s="58">
        <f t="shared" si="13"/>
        <v>1</v>
      </c>
      <c r="Q41" s="59">
        <f t="shared" si="14"/>
        <v>9.7497000000000007</v>
      </c>
      <c r="R41" s="58">
        <f t="shared" si="15"/>
        <v>9.7497000000000007</v>
      </c>
      <c r="S41" s="58">
        <f t="shared" si="16"/>
        <v>9.7497000000000007</v>
      </c>
      <c r="T41" s="58"/>
      <c r="U41" s="58"/>
      <c r="V41" s="54" t="str">
        <f>IF(U33&gt;100,"EXTRAPESADO",IF(U33&lt;=100,IF(U33&gt;=60,"PESADO",IF(U33&lt;60,IF(U33&gt;=30,"MEDIANO","LIVIANO")))))</f>
        <v>EXTRAPESADO</v>
      </c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I41" s="58" t="s">
        <v>48</v>
      </c>
      <c r="AJ41" s="52" t="str">
        <f>IF(A41=0,"NORMA", +VLOOKUP(A41,[3]!AREA2014A,15))</f>
        <v>A36</v>
      </c>
      <c r="AL41" s="54" t="str">
        <f t="shared" si="17"/>
        <v>TCL4</v>
      </c>
      <c r="AM41" s="54" t="s">
        <v>49</v>
      </c>
    </row>
    <row r="42" spans="1:39" x14ac:dyDescent="0.2">
      <c r="A42" s="52">
        <v>693</v>
      </c>
      <c r="B42" s="53">
        <f>B33</f>
        <v>1</v>
      </c>
      <c r="C42" s="54" t="s">
        <v>48</v>
      </c>
      <c r="D42" s="52" t="s">
        <v>68</v>
      </c>
      <c r="E42" s="54" t="s">
        <v>60</v>
      </c>
      <c r="F42" s="54" t="str">
        <f>IF(A42=0,"SERIE",+VLOOKUP(A42,[3]!AREA2014A,3))</f>
        <v>PLE 20mm</v>
      </c>
      <c r="G42" s="54" t="s">
        <v>61</v>
      </c>
      <c r="H42" s="55">
        <f>IF(A42=0,"PESOU",+VLOOKUP(A42,[3]!AREA2014A,4))*$B$2</f>
        <v>157</v>
      </c>
      <c r="I42" s="56" t="str">
        <f>IF(A42=0,"CODIGO", +VLOOKUP(A42,[3]!AREA2014A,13))</f>
        <v>12.54.52.470.03</v>
      </c>
      <c r="J42" s="57">
        <v>310</v>
      </c>
      <c r="K42" s="57">
        <v>250</v>
      </c>
      <c r="L42" s="57">
        <v>0.17699999999999999</v>
      </c>
      <c r="M42" s="57">
        <v>0.18</v>
      </c>
      <c r="N42" s="57" t="s">
        <v>48</v>
      </c>
      <c r="O42" s="58">
        <v>1</v>
      </c>
      <c r="P42" s="58">
        <f t="shared" si="13"/>
        <v>1</v>
      </c>
      <c r="Q42" s="59">
        <f t="shared" si="14"/>
        <v>12.1675</v>
      </c>
      <c r="R42" s="58">
        <f t="shared" si="15"/>
        <v>12.1675</v>
      </c>
      <c r="S42" s="58">
        <f t="shared" si="16"/>
        <v>12.1675</v>
      </c>
      <c r="T42" s="58"/>
      <c r="U42" s="58"/>
      <c r="V42" s="54" t="str">
        <f>IF(U33&gt;100,"EXTRAPESADO",IF(U33&lt;=100,IF(U33&gt;=60,"PESADO",IF(U33&lt;60,IF(U33&gt;=30,"MEDIANO","LIVIANO")))))</f>
        <v>EXTRAPESADO</v>
      </c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I42" s="58" t="s">
        <v>48</v>
      </c>
      <c r="AJ42" s="52" t="str">
        <f>IF(A42=0,"NORMA", +VLOOKUP(A42,[3]!AREA2014A,15))</f>
        <v>A36</v>
      </c>
      <c r="AL42" s="54" t="str">
        <f t="shared" si="17"/>
        <v>TCL4</v>
      </c>
      <c r="AM42" s="54" t="s">
        <v>49</v>
      </c>
    </row>
    <row r="43" spans="1:39" x14ac:dyDescent="0.2">
      <c r="A43" s="52">
        <v>687</v>
      </c>
      <c r="B43" s="53">
        <f>B33</f>
        <v>1</v>
      </c>
      <c r="C43" s="54" t="s">
        <v>48</v>
      </c>
      <c r="D43" s="52" t="s">
        <v>69</v>
      </c>
      <c r="E43" s="54" t="s">
        <v>46</v>
      </c>
      <c r="F43" s="54" t="str">
        <f>IF(A43=0,"SERIE",+VLOOKUP(A43,[3]!AREA2014A,3))</f>
        <v>PLE 12mm</v>
      </c>
      <c r="G43" s="54" t="s">
        <v>70</v>
      </c>
      <c r="H43" s="55">
        <f>IF(A43=0,"PESOU",+VLOOKUP(A43,[3]!AREA2014A,4))*$B$2</f>
        <v>94.2</v>
      </c>
      <c r="I43" s="56" t="str">
        <f>IF(A43=0,"CODIGO", +VLOOKUP(A43,[3]!AREA2014A,13))</f>
        <v>12.54.52.390.00</v>
      </c>
      <c r="J43" s="57">
        <v>345</v>
      </c>
      <c r="K43" s="57">
        <v>260</v>
      </c>
      <c r="L43" s="57">
        <v>0.19</v>
      </c>
      <c r="M43" s="57">
        <v>0.19</v>
      </c>
      <c r="N43" s="57" t="s">
        <v>48</v>
      </c>
      <c r="O43" s="58">
        <v>1</v>
      </c>
      <c r="P43" s="58">
        <f t="shared" si="13"/>
        <v>1</v>
      </c>
      <c r="Q43" s="59">
        <f t="shared" si="14"/>
        <v>8.4497400000000003</v>
      </c>
      <c r="R43" s="58">
        <f t="shared" si="15"/>
        <v>8.4497400000000003</v>
      </c>
      <c r="S43" s="58">
        <f t="shared" si="16"/>
        <v>8.4497400000000003</v>
      </c>
      <c r="T43" s="58"/>
      <c r="U43" s="58"/>
      <c r="V43" s="54" t="str">
        <f>IF(U33&gt;100,"EXTRAPESADO",IF(U33&lt;=100,IF(U33&gt;=60,"PESADO",IF(U33&lt;60,IF(U33&gt;=30,"MEDIANO","LIVIANO")))))</f>
        <v>EXTRAPESADO</v>
      </c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I43" s="58" t="s">
        <v>48</v>
      </c>
      <c r="AJ43" s="52" t="str">
        <f>IF(A43=0,"NORMA", +VLOOKUP(A43,[3]!AREA2014A,15))</f>
        <v>A36</v>
      </c>
      <c r="AL43" s="54" t="str">
        <f t="shared" si="17"/>
        <v>TCL4</v>
      </c>
      <c r="AM43" s="54" t="s">
        <v>49</v>
      </c>
    </row>
    <row r="44" spans="1:39" x14ac:dyDescent="0.2">
      <c r="A44" s="60"/>
      <c r="B44" s="60">
        <v>1</v>
      </c>
      <c r="C44" s="61">
        <v>7</v>
      </c>
      <c r="D44" s="43" t="s">
        <v>79</v>
      </c>
      <c r="E44" s="43" t="s">
        <v>80</v>
      </c>
      <c r="F44" s="43" t="str">
        <f>F45</f>
        <v>UPN 100</v>
      </c>
      <c r="G44" s="61" t="str">
        <f>G45</f>
        <v>UPN100</v>
      </c>
      <c r="H44" s="62" t="s">
        <v>48</v>
      </c>
      <c r="I44" s="62"/>
      <c r="J44" s="63">
        <f>MAX(J45:J48)</f>
        <v>1883</v>
      </c>
      <c r="K44" s="63" t="s">
        <v>48</v>
      </c>
      <c r="L44" s="64" t="s">
        <v>48</v>
      </c>
      <c r="M44" s="64" t="s">
        <v>48</v>
      </c>
      <c r="N44" s="63">
        <v>0.8</v>
      </c>
      <c r="O44" s="63">
        <v>2</v>
      </c>
      <c r="P44" s="63">
        <f>O44*TOTALES!$A$1</f>
        <v>2</v>
      </c>
      <c r="Q44" s="64">
        <f>+R44</f>
        <v>42.044200000000004</v>
      </c>
      <c r="R44" s="64">
        <f>SUM(R45:R48)</f>
        <v>42.044200000000004</v>
      </c>
      <c r="S44" s="64" t="s">
        <v>48</v>
      </c>
      <c r="T44" s="64">
        <f>+R44*P44</f>
        <v>84.088400000000007</v>
      </c>
      <c r="U44" s="64">
        <f>R44/(J44/1000)</f>
        <v>22.328305894848647</v>
      </c>
      <c r="V44" s="43" t="str">
        <f>IF(U44&gt;100,"EXTRAPESADO",IF(U44&lt;=100,IF(U44&gt;=60,"PESADO",IF(U44&lt;60,IF(U44&gt;=30,"MEDIANO","LIVIANO")))))</f>
        <v>LIVIANO</v>
      </c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5"/>
      <c r="AI44" s="64" t="s">
        <v>48</v>
      </c>
      <c r="AJ44" s="61" t="str">
        <f>AJ45</f>
        <v>A36</v>
      </c>
      <c r="AK44" s="51"/>
      <c r="AL44" s="43" t="str">
        <f>D44</f>
        <v>TRI1</v>
      </c>
      <c r="AM44" s="43" t="s">
        <v>49</v>
      </c>
    </row>
    <row r="45" spans="1:39" x14ac:dyDescent="0.2">
      <c r="A45" s="52">
        <v>34</v>
      </c>
      <c r="B45" s="53">
        <f>B44</f>
        <v>1</v>
      </c>
      <c r="C45" s="54" t="s">
        <v>48</v>
      </c>
      <c r="D45" s="52" t="s">
        <v>79</v>
      </c>
      <c r="E45" s="54" t="s">
        <v>80</v>
      </c>
      <c r="F45" s="54" t="str">
        <f>IF(A45=0,"SERIE",+VLOOKUP(A45,[3]!AREA2014A,3))</f>
        <v>UPN 100</v>
      </c>
      <c r="G45" s="54" t="s">
        <v>81</v>
      </c>
      <c r="H45" s="55">
        <f>IF(A45=0,"PESOU",+VLOOKUP(A45,[3]!AREA2014A,4))*$B$2</f>
        <v>10.6</v>
      </c>
      <c r="I45" s="56" t="str">
        <f>IF(A45=0,"CODIGO", +VLOOKUP(A45,[3]!AREA2014A,13))</f>
        <v>12.49.80.060.00</v>
      </c>
      <c r="J45" s="57">
        <v>1882</v>
      </c>
      <c r="K45" s="57" t="s">
        <v>48</v>
      </c>
      <c r="L45" s="57">
        <v>0.70499999999999996</v>
      </c>
      <c r="M45" s="57">
        <v>0.71</v>
      </c>
      <c r="N45" s="57" t="s">
        <v>48</v>
      </c>
      <c r="O45" s="58">
        <v>1</v>
      </c>
      <c r="P45" s="58">
        <f>O45*$P$44</f>
        <v>2</v>
      </c>
      <c r="Q45" s="59">
        <f>IF(K45="",+H45/1000*J45,+H45/1000*J45/1000*K45)</f>
        <v>19.949200000000001</v>
      </c>
      <c r="R45" s="58">
        <f>+Q45*O45</f>
        <v>19.949200000000001</v>
      </c>
      <c r="S45" s="58">
        <f>+Q45*P45</f>
        <v>39.898400000000002</v>
      </c>
      <c r="T45" s="58"/>
      <c r="U45" s="58"/>
      <c r="V45" s="54" t="str">
        <f>IF(U44&gt;100,"EXTRAPESADO",IF(U44&lt;=100,IF(U44&gt;=60,"PESADO",IF(U44&lt;60,IF(U44&gt;=30,"MEDIANO","LIVIANO")))))</f>
        <v>LIVIANO</v>
      </c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I45" s="58" t="s">
        <v>48</v>
      </c>
      <c r="AJ45" s="52" t="str">
        <f>IF(A45=0,"NORMA", +VLOOKUP(A45,[3]!AREA2014A,15))</f>
        <v>A36</v>
      </c>
      <c r="AL45" s="54" t="str">
        <f>AL44</f>
        <v>TRI1</v>
      </c>
      <c r="AM45" s="54" t="s">
        <v>49</v>
      </c>
    </row>
    <row r="46" spans="1:39" x14ac:dyDescent="0.2">
      <c r="A46" s="52">
        <v>34</v>
      </c>
      <c r="B46" s="53">
        <f>B44</f>
        <v>1</v>
      </c>
      <c r="C46" s="54" t="s">
        <v>48</v>
      </c>
      <c r="D46" s="52" t="s">
        <v>79</v>
      </c>
      <c r="E46" s="54" t="s">
        <v>80</v>
      </c>
      <c r="F46" s="54" t="str">
        <f>IF(A46=0,"SERIE",+VLOOKUP(A46,[3]!AREA2014A,3))</f>
        <v>UPN 100</v>
      </c>
      <c r="G46" s="54" t="s">
        <v>81</v>
      </c>
      <c r="H46" s="55">
        <f>IF(A46=0,"PESOU",+VLOOKUP(A46,[3]!AREA2014A,4))*$B$2</f>
        <v>10.6</v>
      </c>
      <c r="I46" s="56" t="str">
        <f>IF(A46=0,"CODIGO", +VLOOKUP(A46,[3]!AREA2014A,13))</f>
        <v>12.49.80.060.00</v>
      </c>
      <c r="J46" s="57">
        <v>1883</v>
      </c>
      <c r="K46" s="57" t="s">
        <v>48</v>
      </c>
      <c r="L46" s="57">
        <v>0.70599999999999996</v>
      </c>
      <c r="M46" s="57">
        <v>0.71</v>
      </c>
      <c r="N46" s="57" t="s">
        <v>48</v>
      </c>
      <c r="O46" s="58">
        <v>1</v>
      </c>
      <c r="P46" s="58">
        <f>O46*$P$44</f>
        <v>2</v>
      </c>
      <c r="Q46" s="59">
        <f>IF(K46="",+H46/1000*J46,+H46/1000*J46/1000*K46)</f>
        <v>19.959800000000001</v>
      </c>
      <c r="R46" s="58">
        <f>+Q46*O46</f>
        <v>19.959800000000001</v>
      </c>
      <c r="S46" s="58">
        <f>+Q46*P46</f>
        <v>39.919600000000003</v>
      </c>
      <c r="T46" s="58"/>
      <c r="U46" s="58"/>
      <c r="V46" s="54" t="str">
        <f>IF(U44&gt;100,"EXTRAPESADO",IF(U44&lt;=100,IF(U44&gt;=60,"PESADO",IF(U44&lt;60,IF(U44&gt;=30,"MEDIANO","LIVIANO")))))</f>
        <v>LIVIANO</v>
      </c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I46" s="58" t="s">
        <v>48</v>
      </c>
      <c r="AJ46" s="52" t="str">
        <f>IF(A46=0,"NORMA", +VLOOKUP(A46,[3]!AREA2014A,15))</f>
        <v>A36</v>
      </c>
      <c r="AL46" s="54" t="str">
        <f>AL45</f>
        <v>TRI1</v>
      </c>
      <c r="AM46" s="54" t="s">
        <v>49</v>
      </c>
    </row>
    <row r="47" spans="1:39" x14ac:dyDescent="0.2">
      <c r="A47" s="52">
        <v>686</v>
      </c>
      <c r="B47" s="53">
        <f>B44</f>
        <v>1</v>
      </c>
      <c r="C47" s="54" t="s">
        <v>48</v>
      </c>
      <c r="D47" s="52" t="s">
        <v>82</v>
      </c>
      <c r="E47" s="54" t="s">
        <v>46</v>
      </c>
      <c r="F47" s="54" t="str">
        <f>IF(A47=0,"SERIE",+VLOOKUP(A47,[3]!AREA2014A,3))</f>
        <v>PLE 10mm</v>
      </c>
      <c r="G47" s="54" t="s">
        <v>83</v>
      </c>
      <c r="H47" s="55">
        <f>IF(A47=0,"PESOU",+VLOOKUP(A47,[3]!AREA2014A,4))*$B$2</f>
        <v>78.5</v>
      </c>
      <c r="I47" s="56" t="str">
        <f>IF(A47=0,"CODIGO", +VLOOKUP(A47,[3]!AREA2014A,13))</f>
        <v>12.54.52.370.07</v>
      </c>
      <c r="J47" s="57">
        <v>172</v>
      </c>
      <c r="K47" s="57">
        <v>100</v>
      </c>
      <c r="L47" s="57">
        <v>0.04</v>
      </c>
      <c r="M47" s="57">
        <v>0.08</v>
      </c>
      <c r="N47" s="57" t="s">
        <v>48</v>
      </c>
      <c r="O47" s="58">
        <v>1</v>
      </c>
      <c r="P47" s="58">
        <f>O47*$P$44</f>
        <v>2</v>
      </c>
      <c r="Q47" s="59">
        <f>IF(K47="",+H47/1000*J47,+H47/1000*J47/1000*K47)</f>
        <v>1.3502000000000001</v>
      </c>
      <c r="R47" s="58">
        <f>+Q47*O47</f>
        <v>1.3502000000000001</v>
      </c>
      <c r="S47" s="58">
        <f>+Q47*P47</f>
        <v>2.7004000000000001</v>
      </c>
      <c r="T47" s="58"/>
      <c r="U47" s="58"/>
      <c r="V47" s="54" t="str">
        <f>IF(U44&gt;100,"EXTRAPESADO",IF(U44&lt;=100,IF(U44&gt;=60,"PESADO",IF(U44&lt;60,IF(U44&gt;=30,"MEDIANO","LIVIANO")))))</f>
        <v>LIVIANO</v>
      </c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I47" s="58" t="s">
        <v>48</v>
      </c>
      <c r="AJ47" s="52" t="str">
        <f>IF(A47=0,"NORMA", +VLOOKUP(A47,[3]!AREA2014A,15))</f>
        <v>A36</v>
      </c>
      <c r="AL47" s="54" t="str">
        <f>AL46</f>
        <v>TRI1</v>
      </c>
      <c r="AM47" s="54" t="s">
        <v>49</v>
      </c>
    </row>
    <row r="48" spans="1:39" x14ac:dyDescent="0.2">
      <c r="A48" s="52">
        <v>686</v>
      </c>
      <c r="B48" s="53">
        <f>B44</f>
        <v>1</v>
      </c>
      <c r="C48" s="54" t="s">
        <v>48</v>
      </c>
      <c r="D48" s="52" t="s">
        <v>84</v>
      </c>
      <c r="E48" s="54" t="s">
        <v>85</v>
      </c>
      <c r="F48" s="54" t="str">
        <f>IF(A48=0,"SERIE",+VLOOKUP(A48,[3]!AREA2014A,3))</f>
        <v>PLE 10mm</v>
      </c>
      <c r="G48" s="54" t="s">
        <v>83</v>
      </c>
      <c r="H48" s="55">
        <f>IF(A48=0,"PESOU",+VLOOKUP(A48,[3]!AREA2014A,4))*$B$2</f>
        <v>78.5</v>
      </c>
      <c r="I48" s="56" t="str">
        <f>IF(A48=0,"CODIGO", +VLOOKUP(A48,[3]!AREA2014A,13))</f>
        <v>12.54.52.370.07</v>
      </c>
      <c r="J48" s="57">
        <v>100</v>
      </c>
      <c r="K48" s="57">
        <v>100</v>
      </c>
      <c r="L48" s="57">
        <v>2.4E-2</v>
      </c>
      <c r="M48" s="57">
        <v>0.05</v>
      </c>
      <c r="N48" s="57" t="s">
        <v>48</v>
      </c>
      <c r="O48" s="58">
        <v>1</v>
      </c>
      <c r="P48" s="58">
        <f>O48*$P$44</f>
        <v>2</v>
      </c>
      <c r="Q48" s="59">
        <f>IF(K48="",+H48/1000*J48,+H48/1000*J48/1000*K48)</f>
        <v>0.78499999999999992</v>
      </c>
      <c r="R48" s="58">
        <f>+Q48*O48</f>
        <v>0.78499999999999992</v>
      </c>
      <c r="S48" s="58">
        <f>+Q48*P48</f>
        <v>1.5699999999999998</v>
      </c>
      <c r="T48" s="58"/>
      <c r="U48" s="58"/>
      <c r="V48" s="54" t="str">
        <f>IF(U44&gt;100,"EXTRAPESADO",IF(U44&lt;=100,IF(U44&gt;=60,"PESADO",IF(U44&lt;60,IF(U44&gt;=30,"MEDIANO","LIVIANO")))))</f>
        <v>LIVIANO</v>
      </c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I48" s="58" t="s">
        <v>48</v>
      </c>
      <c r="AJ48" s="52" t="str">
        <f>IF(A48=0,"NORMA", +VLOOKUP(A48,[3]!AREA2014A,15))</f>
        <v>A36</v>
      </c>
      <c r="AL48" s="54" t="str">
        <f>AL47</f>
        <v>TRI1</v>
      </c>
      <c r="AM48" s="54" t="s">
        <v>49</v>
      </c>
    </row>
    <row r="49" spans="1:39" x14ac:dyDescent="0.2">
      <c r="A49" s="60"/>
      <c r="B49" s="60">
        <v>1</v>
      </c>
      <c r="C49" s="61">
        <v>8</v>
      </c>
      <c r="D49" s="43" t="s">
        <v>86</v>
      </c>
      <c r="E49" s="43" t="s">
        <v>80</v>
      </c>
      <c r="F49" s="43" t="str">
        <f>F50</f>
        <v>UPN 100</v>
      </c>
      <c r="G49" s="61" t="str">
        <f>G50</f>
        <v>UPN100</v>
      </c>
      <c r="H49" s="62" t="s">
        <v>48</v>
      </c>
      <c r="I49" s="62"/>
      <c r="J49" s="63">
        <f>MAX(J50:J51)</f>
        <v>1488</v>
      </c>
      <c r="K49" s="63" t="s">
        <v>48</v>
      </c>
      <c r="L49" s="64" t="s">
        <v>48</v>
      </c>
      <c r="M49" s="64" t="s">
        <v>48</v>
      </c>
      <c r="N49" s="63">
        <v>0.6</v>
      </c>
      <c r="O49" s="63">
        <v>3</v>
      </c>
      <c r="P49" s="63">
        <f>O49*TOTALES!$A$1</f>
        <v>3</v>
      </c>
      <c r="Q49" s="64">
        <f>+R49</f>
        <v>17.107299999999999</v>
      </c>
      <c r="R49" s="64">
        <f>SUM(R50:R51)</f>
        <v>17.107299999999999</v>
      </c>
      <c r="S49" s="64" t="s">
        <v>48</v>
      </c>
      <c r="T49" s="64">
        <f>+R49*P49</f>
        <v>51.321899999999999</v>
      </c>
      <c r="U49" s="64">
        <f>R49/(J49/1000)</f>
        <v>11.496841397849462</v>
      </c>
      <c r="V49" s="43" t="str">
        <f>IF(U49&gt;100,"EXTRAPESADO",IF(U49&lt;=100,IF(U49&gt;=60,"PESADO",IF(U49&lt;60,IF(U49&gt;=30,"MEDIANO","LIVIANO")))))</f>
        <v>LIVIANO</v>
      </c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5"/>
      <c r="AI49" s="64" t="s">
        <v>48</v>
      </c>
      <c r="AJ49" s="61" t="str">
        <f>AJ50</f>
        <v>A36</v>
      </c>
      <c r="AK49" s="51"/>
      <c r="AL49" s="43" t="str">
        <f>D49</f>
        <v>TRI2</v>
      </c>
      <c r="AM49" s="43" t="s">
        <v>49</v>
      </c>
    </row>
    <row r="50" spans="1:39" x14ac:dyDescent="0.2">
      <c r="A50" s="52">
        <v>34</v>
      </c>
      <c r="B50" s="53">
        <f>B49</f>
        <v>1</v>
      </c>
      <c r="C50" s="54" t="s">
        <v>48</v>
      </c>
      <c r="D50" s="52" t="s">
        <v>86</v>
      </c>
      <c r="E50" s="54" t="s">
        <v>80</v>
      </c>
      <c r="F50" s="54" t="str">
        <f>IF(A50=0,"SERIE",+VLOOKUP(A50,[3]!AREA2014A,3))</f>
        <v>UPN 100</v>
      </c>
      <c r="G50" s="54" t="s">
        <v>81</v>
      </c>
      <c r="H50" s="55">
        <f>IF(A50=0,"PESOU",+VLOOKUP(A50,[3]!AREA2014A,4))*$B$2</f>
        <v>10.6</v>
      </c>
      <c r="I50" s="56" t="str">
        <f>IF(A50=0,"CODIGO", +VLOOKUP(A50,[3]!AREA2014A,13))</f>
        <v>12.49.80.060.00</v>
      </c>
      <c r="J50" s="57">
        <v>1488</v>
      </c>
      <c r="K50" s="57" t="s">
        <v>48</v>
      </c>
      <c r="L50" s="57">
        <v>0.57999999999999996</v>
      </c>
      <c r="M50" s="57">
        <v>1.74</v>
      </c>
      <c r="N50" s="57" t="s">
        <v>48</v>
      </c>
      <c r="O50" s="58">
        <v>1</v>
      </c>
      <c r="P50" s="58">
        <f>O50*$P$49</f>
        <v>3</v>
      </c>
      <c r="Q50" s="59">
        <f>IF(K50="",+H50/1000*J50,+H50/1000*J50/1000*K50)</f>
        <v>15.7728</v>
      </c>
      <c r="R50" s="58">
        <f>+Q50*O50</f>
        <v>15.7728</v>
      </c>
      <c r="S50" s="58">
        <f>+Q50*P50</f>
        <v>47.318399999999997</v>
      </c>
      <c r="T50" s="58"/>
      <c r="U50" s="58"/>
      <c r="V50" s="54" t="str">
        <f>IF(U49&gt;100,"EXTRAPESADO",IF(U49&lt;=100,IF(U49&gt;=60,"PESADO",IF(U49&lt;60,IF(U49&gt;=30,"MEDIANO","LIVIANO")))))</f>
        <v>LIVIANO</v>
      </c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I50" s="58" t="s">
        <v>48</v>
      </c>
      <c r="AJ50" s="52" t="str">
        <f>IF(A50=0,"NORMA", +VLOOKUP(A50,[3]!AREA2014A,15))</f>
        <v>A36</v>
      </c>
      <c r="AL50" s="54" t="str">
        <f>AL49</f>
        <v>TRI2</v>
      </c>
      <c r="AM50" s="54" t="s">
        <v>49</v>
      </c>
    </row>
    <row r="51" spans="1:39" x14ac:dyDescent="0.2">
      <c r="A51" s="52">
        <v>686</v>
      </c>
      <c r="B51" s="53">
        <f>B49</f>
        <v>1</v>
      </c>
      <c r="C51" s="54" t="s">
        <v>48</v>
      </c>
      <c r="D51" s="52" t="s">
        <v>87</v>
      </c>
      <c r="E51" s="54" t="s">
        <v>85</v>
      </c>
      <c r="F51" s="54" t="str">
        <f>IF(A51=0,"SERIE",+VLOOKUP(A51,[3]!AREA2014A,3))</f>
        <v>PLE 10mm</v>
      </c>
      <c r="G51" s="54" t="s">
        <v>83</v>
      </c>
      <c r="H51" s="55">
        <f>IF(A51=0,"PESOU",+VLOOKUP(A51,[3]!AREA2014A,4))*$B$2</f>
        <v>78.5</v>
      </c>
      <c r="I51" s="56" t="str">
        <f>IF(A51=0,"CODIGO", +VLOOKUP(A51,[3]!AREA2014A,13))</f>
        <v>12.54.52.370.07</v>
      </c>
      <c r="J51" s="57">
        <v>170</v>
      </c>
      <c r="K51" s="57">
        <v>100</v>
      </c>
      <c r="L51" s="57">
        <v>3.9E-2</v>
      </c>
      <c r="M51" s="57">
        <v>0.12</v>
      </c>
      <c r="N51" s="57" t="s">
        <v>48</v>
      </c>
      <c r="O51" s="58">
        <v>1</v>
      </c>
      <c r="P51" s="58">
        <f>O51*$P$49</f>
        <v>3</v>
      </c>
      <c r="Q51" s="59">
        <f>IF(K51="",+H51/1000*J51,+H51/1000*J51/1000*K51)</f>
        <v>1.3345</v>
      </c>
      <c r="R51" s="58">
        <f>+Q51*O51</f>
        <v>1.3345</v>
      </c>
      <c r="S51" s="58">
        <f>+Q51*P51</f>
        <v>4.0034999999999998</v>
      </c>
      <c r="T51" s="58"/>
      <c r="U51" s="58"/>
      <c r="V51" s="54" t="str">
        <f>IF(U49&gt;100,"EXTRAPESADO",IF(U49&lt;=100,IF(U49&gt;=60,"PESADO",IF(U49&lt;60,IF(U49&gt;=30,"MEDIANO","LIVIANO")))))</f>
        <v>LIVIANO</v>
      </c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I51" s="58" t="s">
        <v>48</v>
      </c>
      <c r="AJ51" s="52" t="str">
        <f>IF(A51=0,"NORMA", +VLOOKUP(A51,[3]!AREA2014A,15))</f>
        <v>A36</v>
      </c>
      <c r="AL51" s="54" t="str">
        <f>AL50</f>
        <v>TRI2</v>
      </c>
      <c r="AM51" s="54" t="s">
        <v>49</v>
      </c>
    </row>
    <row r="52" spans="1:39" x14ac:dyDescent="0.2">
      <c r="A52" s="60"/>
      <c r="B52" s="60">
        <v>1</v>
      </c>
      <c r="C52" s="61">
        <v>9</v>
      </c>
      <c r="D52" s="43" t="s">
        <v>88</v>
      </c>
      <c r="E52" s="43" t="s">
        <v>80</v>
      </c>
      <c r="F52" s="43" t="str">
        <f>F53</f>
        <v>UPN 100</v>
      </c>
      <c r="G52" s="61" t="str">
        <f>G53</f>
        <v>UPN100</v>
      </c>
      <c r="H52" s="62" t="s">
        <v>48</v>
      </c>
      <c r="I52" s="62"/>
      <c r="J52" s="63">
        <f>MAX(J53)</f>
        <v>1073</v>
      </c>
      <c r="K52" s="63" t="s">
        <v>48</v>
      </c>
      <c r="L52" s="64" t="s">
        <v>48</v>
      </c>
      <c r="M52" s="64" t="s">
        <v>48</v>
      </c>
      <c r="N52" s="63">
        <v>0.4</v>
      </c>
      <c r="O52" s="63">
        <v>6</v>
      </c>
      <c r="P52" s="63">
        <f>O52*TOTALES!$A$1</f>
        <v>6</v>
      </c>
      <c r="Q52" s="64">
        <f>+R52</f>
        <v>11.373799999999999</v>
      </c>
      <c r="R52" s="64">
        <f>SUM(R53)</f>
        <v>11.373799999999999</v>
      </c>
      <c r="S52" s="64" t="s">
        <v>48</v>
      </c>
      <c r="T52" s="64">
        <f>+R52*P52</f>
        <v>68.242799999999988</v>
      </c>
      <c r="U52" s="64">
        <f>R52/(J52/1000)</f>
        <v>10.6</v>
      </c>
      <c r="V52" s="43" t="str">
        <f>IF(U52&gt;100,"EXTRAPESADO",IF(U52&lt;=100,IF(U52&gt;=60,"PESADO",IF(U52&lt;60,IF(U52&gt;=30,"MEDIANO","LIVIANO")))))</f>
        <v>LIVIANO</v>
      </c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5"/>
      <c r="AI52" s="64" t="s">
        <v>48</v>
      </c>
      <c r="AJ52" s="61" t="str">
        <f>AJ53</f>
        <v>A36</v>
      </c>
      <c r="AK52" s="51"/>
      <c r="AL52" s="43" t="str">
        <f>D52</f>
        <v>TRI3</v>
      </c>
      <c r="AM52" s="43" t="s">
        <v>49</v>
      </c>
    </row>
    <row r="53" spans="1:39" x14ac:dyDescent="0.2">
      <c r="A53" s="52">
        <v>34</v>
      </c>
      <c r="B53" s="53">
        <f>B52</f>
        <v>1</v>
      </c>
      <c r="C53" s="54" t="s">
        <v>48</v>
      </c>
      <c r="D53" s="52" t="s">
        <v>88</v>
      </c>
      <c r="E53" s="54" t="s">
        <v>80</v>
      </c>
      <c r="F53" s="54" t="str">
        <f>IF(A53=0,"SERIE",+VLOOKUP(A53,[3]!AREA2014A,3))</f>
        <v>UPN 100</v>
      </c>
      <c r="G53" s="54" t="s">
        <v>81</v>
      </c>
      <c r="H53" s="55">
        <f>IF(A53=0,"PESOU",+VLOOKUP(A53,[3]!AREA2014A,4))*$B$2</f>
        <v>10.6</v>
      </c>
      <c r="I53" s="56" t="str">
        <f>IF(A53=0,"CODIGO", +VLOOKUP(A53,[3]!AREA2014A,13))</f>
        <v>12.49.80.060.00</v>
      </c>
      <c r="J53" s="57">
        <v>1073</v>
      </c>
      <c r="K53" s="57" t="s">
        <v>48</v>
      </c>
      <c r="L53" s="57">
        <v>0.41899999999999998</v>
      </c>
      <c r="M53" s="57">
        <v>2.5099999999999998</v>
      </c>
      <c r="N53" s="57" t="s">
        <v>48</v>
      </c>
      <c r="O53" s="58">
        <v>1</v>
      </c>
      <c r="P53" s="58">
        <f>O53*$P$52</f>
        <v>6</v>
      </c>
      <c r="Q53" s="59">
        <f>IF(K53="",+H53/1000*J53,+H53/1000*J53/1000*K53)</f>
        <v>11.373799999999999</v>
      </c>
      <c r="R53" s="58">
        <f>+Q53*O53</f>
        <v>11.373799999999999</v>
      </c>
      <c r="S53" s="58">
        <f>+Q53*P53</f>
        <v>68.242799999999988</v>
      </c>
      <c r="T53" s="58"/>
      <c r="U53" s="58"/>
      <c r="V53" s="54" t="str">
        <f>IF(U52&gt;100,"EXTRAPESADO",IF(U52&lt;=100,IF(U52&gt;=60,"PESADO",IF(U52&lt;60,IF(U52&gt;=30,"MEDIANO","LIVIANO")))))</f>
        <v>LIVIANO</v>
      </c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I53" s="58" t="s">
        <v>48</v>
      </c>
      <c r="AJ53" s="52" t="str">
        <f>IF(A53=0,"NORMA", +VLOOKUP(A53,[3]!AREA2014A,15))</f>
        <v>A36</v>
      </c>
      <c r="AL53" s="54" t="str">
        <f>AL52</f>
        <v>TRI3</v>
      </c>
      <c r="AM53" s="54" t="s">
        <v>49</v>
      </c>
    </row>
    <row r="54" spans="1:39" x14ac:dyDescent="0.2">
      <c r="A54" s="60"/>
      <c r="B54" s="60">
        <v>1</v>
      </c>
      <c r="C54" s="61">
        <v>10</v>
      </c>
      <c r="D54" s="43" t="s">
        <v>89</v>
      </c>
      <c r="E54" s="43" t="s">
        <v>80</v>
      </c>
      <c r="F54" s="43" t="str">
        <f>F55</f>
        <v>UPN 100</v>
      </c>
      <c r="G54" s="61" t="str">
        <f>G55</f>
        <v>UPN100</v>
      </c>
      <c r="H54" s="62" t="s">
        <v>48</v>
      </c>
      <c r="I54" s="62"/>
      <c r="J54" s="63">
        <f>MAX(J55:J58)</f>
        <v>2233</v>
      </c>
      <c r="K54" s="63" t="s">
        <v>48</v>
      </c>
      <c r="L54" s="64" t="s">
        <v>48</v>
      </c>
      <c r="M54" s="64" t="s">
        <v>48</v>
      </c>
      <c r="N54" s="63">
        <v>0.9</v>
      </c>
      <c r="O54" s="63">
        <v>2</v>
      </c>
      <c r="P54" s="63">
        <f>O54*TOTALES!$A$1</f>
        <v>2</v>
      </c>
      <c r="Q54" s="64">
        <f>+R54</f>
        <v>49.762499999999989</v>
      </c>
      <c r="R54" s="64">
        <f>SUM(R55:R58)</f>
        <v>49.762499999999989</v>
      </c>
      <c r="S54" s="64" t="s">
        <v>48</v>
      </c>
      <c r="T54" s="64">
        <f>+R54*P54</f>
        <v>99.524999999999977</v>
      </c>
      <c r="U54" s="64">
        <f>R54/(J54/1000)</f>
        <v>22.285042543663227</v>
      </c>
      <c r="V54" s="43" t="str">
        <f>IF(U54&gt;100,"EXTRAPESADO",IF(U54&lt;=100,IF(U54&gt;=60,"PESADO",IF(U54&lt;60,IF(U54&gt;=30,"MEDIANO","LIVIANO")))))</f>
        <v>LIVIANO</v>
      </c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5"/>
      <c r="AI54" s="64" t="s">
        <v>48</v>
      </c>
      <c r="AJ54" s="61" t="str">
        <f>AJ55</f>
        <v>A36</v>
      </c>
      <c r="AK54" s="51"/>
      <c r="AL54" s="43" t="str">
        <f>D54</f>
        <v>TRI4</v>
      </c>
      <c r="AM54" s="43" t="s">
        <v>49</v>
      </c>
    </row>
    <row r="55" spans="1:39" x14ac:dyDescent="0.2">
      <c r="A55" s="52">
        <v>34</v>
      </c>
      <c r="B55" s="53">
        <f>B54</f>
        <v>1</v>
      </c>
      <c r="C55" s="54" t="s">
        <v>48</v>
      </c>
      <c r="D55" s="52" t="s">
        <v>89</v>
      </c>
      <c r="E55" s="54" t="s">
        <v>80</v>
      </c>
      <c r="F55" s="54" t="str">
        <f>IF(A55=0,"SERIE",+VLOOKUP(A55,[3]!AREA2014A,3))</f>
        <v>UPN 100</v>
      </c>
      <c r="G55" s="54" t="s">
        <v>81</v>
      </c>
      <c r="H55" s="55">
        <f>IF(A55=0,"PESOU",+VLOOKUP(A55,[3]!AREA2014A,4))*$B$2</f>
        <v>10.6</v>
      </c>
      <c r="I55" s="56" t="str">
        <f>IF(A55=0,"CODIGO", +VLOOKUP(A55,[3]!AREA2014A,13))</f>
        <v>12.49.80.060.00</v>
      </c>
      <c r="J55" s="57">
        <v>2233</v>
      </c>
      <c r="K55" s="57" t="s">
        <v>48</v>
      </c>
      <c r="L55" s="57">
        <v>0.85299999999999998</v>
      </c>
      <c r="M55" s="57">
        <v>0.85</v>
      </c>
      <c r="N55" s="57" t="s">
        <v>48</v>
      </c>
      <c r="O55" s="58">
        <v>1</v>
      </c>
      <c r="P55" s="58">
        <f>O55*$P$54</f>
        <v>2</v>
      </c>
      <c r="Q55" s="59">
        <f>IF(K55="",+H55/1000*J55,+H55/1000*J55/1000*K55)</f>
        <v>23.669799999999999</v>
      </c>
      <c r="R55" s="58">
        <f>+Q55*O55</f>
        <v>23.669799999999999</v>
      </c>
      <c r="S55" s="58">
        <f>+Q55*P55</f>
        <v>47.339599999999997</v>
      </c>
      <c r="T55" s="58"/>
      <c r="U55" s="58"/>
      <c r="V55" s="54" t="str">
        <f>IF(U54&gt;100,"EXTRAPESADO",IF(U54&lt;=100,IF(U54&gt;=60,"PESADO",IF(U54&lt;60,IF(U54&gt;=30,"MEDIANO","LIVIANO")))))</f>
        <v>LIVIANO</v>
      </c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I55" s="58" t="s">
        <v>48</v>
      </c>
      <c r="AJ55" s="52" t="str">
        <f>IF(A55=0,"NORMA", +VLOOKUP(A55,[3]!AREA2014A,15))</f>
        <v>A36</v>
      </c>
      <c r="AL55" s="54" t="str">
        <f>AL54</f>
        <v>TRI4</v>
      </c>
      <c r="AM55" s="54" t="s">
        <v>49</v>
      </c>
    </row>
    <row r="56" spans="1:39" x14ac:dyDescent="0.2">
      <c r="A56" s="52">
        <v>34</v>
      </c>
      <c r="B56" s="53">
        <f>B54</f>
        <v>1</v>
      </c>
      <c r="C56" s="54" t="s">
        <v>48</v>
      </c>
      <c r="D56" s="52" t="s">
        <v>89</v>
      </c>
      <c r="E56" s="54" t="s">
        <v>80</v>
      </c>
      <c r="F56" s="54" t="str">
        <f>IF(A56=0,"SERIE",+VLOOKUP(A56,[3]!AREA2014A,3))</f>
        <v>UPN 100</v>
      </c>
      <c r="G56" s="54" t="s">
        <v>81</v>
      </c>
      <c r="H56" s="55">
        <f>IF(A56=0,"PESOU",+VLOOKUP(A56,[3]!AREA2014A,4))*$B$2</f>
        <v>10.6</v>
      </c>
      <c r="I56" s="56" t="str">
        <f>IF(A56=0,"CODIGO", +VLOOKUP(A56,[3]!AREA2014A,13))</f>
        <v>12.49.80.060.00</v>
      </c>
      <c r="J56" s="57">
        <v>2232</v>
      </c>
      <c r="K56" s="57" t="s">
        <v>48</v>
      </c>
      <c r="L56" s="57">
        <v>0.85299999999999998</v>
      </c>
      <c r="M56" s="57">
        <v>0.85</v>
      </c>
      <c r="N56" s="57" t="s">
        <v>48</v>
      </c>
      <c r="O56" s="58">
        <v>1</v>
      </c>
      <c r="P56" s="58">
        <f>O56*$P$54</f>
        <v>2</v>
      </c>
      <c r="Q56" s="59">
        <f>IF(K56="",+H56/1000*J56,+H56/1000*J56/1000*K56)</f>
        <v>23.659199999999998</v>
      </c>
      <c r="R56" s="58">
        <f>+Q56*O56</f>
        <v>23.659199999999998</v>
      </c>
      <c r="S56" s="58">
        <f>+Q56*P56</f>
        <v>47.318399999999997</v>
      </c>
      <c r="T56" s="58"/>
      <c r="U56" s="58"/>
      <c r="V56" s="54" t="str">
        <f>IF(U54&gt;100,"EXTRAPESADO",IF(U54&lt;=100,IF(U54&gt;=60,"PESADO",IF(U54&lt;60,IF(U54&gt;=30,"MEDIANO","LIVIANO")))))</f>
        <v>LIVIANO</v>
      </c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I56" s="58" t="s">
        <v>48</v>
      </c>
      <c r="AJ56" s="52" t="str">
        <f>IF(A56=0,"NORMA", +VLOOKUP(A56,[3]!AREA2014A,15))</f>
        <v>A36</v>
      </c>
      <c r="AL56" s="54" t="str">
        <f>AL55</f>
        <v>TRI4</v>
      </c>
      <c r="AM56" s="54" t="s">
        <v>49</v>
      </c>
    </row>
    <row r="57" spans="1:39" x14ac:dyDescent="0.2">
      <c r="A57" s="52">
        <v>686</v>
      </c>
      <c r="B57" s="53">
        <f>B54</f>
        <v>1</v>
      </c>
      <c r="C57" s="54" t="s">
        <v>48</v>
      </c>
      <c r="D57" s="52" t="s">
        <v>90</v>
      </c>
      <c r="E57" s="54" t="s">
        <v>46</v>
      </c>
      <c r="F57" s="54" t="str">
        <f>IF(A57=0,"SERIE",+VLOOKUP(A57,[3]!AREA2014A,3))</f>
        <v>PLE 10mm</v>
      </c>
      <c r="G57" s="54" t="s">
        <v>83</v>
      </c>
      <c r="H57" s="55">
        <f>IF(A57=0,"PESOU",+VLOOKUP(A57,[3]!AREA2014A,4))*$B$2</f>
        <v>78.5</v>
      </c>
      <c r="I57" s="56" t="str">
        <f>IF(A57=0,"CODIGO", +VLOOKUP(A57,[3]!AREA2014A,13))</f>
        <v>12.54.52.370.07</v>
      </c>
      <c r="J57" s="57">
        <v>170</v>
      </c>
      <c r="K57" s="57">
        <v>100</v>
      </c>
      <c r="L57" s="57">
        <v>3.9E-2</v>
      </c>
      <c r="M57" s="57">
        <v>0.08</v>
      </c>
      <c r="N57" s="57" t="s">
        <v>48</v>
      </c>
      <c r="O57" s="58">
        <v>1</v>
      </c>
      <c r="P57" s="58">
        <f>O57*$P$54</f>
        <v>2</v>
      </c>
      <c r="Q57" s="59">
        <f>IF(K57="",+H57/1000*J57,+H57/1000*J57/1000*K57)</f>
        <v>1.3345</v>
      </c>
      <c r="R57" s="58">
        <f>+Q57*O57</f>
        <v>1.3345</v>
      </c>
      <c r="S57" s="58">
        <f>+Q57*P57</f>
        <v>2.669</v>
      </c>
      <c r="T57" s="58"/>
      <c r="U57" s="58"/>
      <c r="V57" s="54" t="str">
        <f>IF(U54&gt;100,"EXTRAPESADO",IF(U54&lt;=100,IF(U54&gt;=60,"PESADO",IF(U54&lt;60,IF(U54&gt;=30,"MEDIANO","LIVIANO")))))</f>
        <v>LIVIANO</v>
      </c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I57" s="58" t="s">
        <v>48</v>
      </c>
      <c r="AJ57" s="52" t="str">
        <f>IF(A57=0,"NORMA", +VLOOKUP(A57,[3]!AREA2014A,15))</f>
        <v>A36</v>
      </c>
      <c r="AL57" s="54" t="str">
        <f>AL56</f>
        <v>TRI4</v>
      </c>
      <c r="AM57" s="54" t="s">
        <v>49</v>
      </c>
    </row>
    <row r="58" spans="1:39" x14ac:dyDescent="0.2">
      <c r="A58" s="52">
        <v>686</v>
      </c>
      <c r="B58" s="53">
        <f>B54</f>
        <v>1</v>
      </c>
      <c r="C58" s="54" t="s">
        <v>48</v>
      </c>
      <c r="D58" s="52" t="s">
        <v>91</v>
      </c>
      <c r="E58" s="54" t="s">
        <v>85</v>
      </c>
      <c r="F58" s="54" t="str">
        <f>IF(A58=0,"SERIE",+VLOOKUP(A58,[3]!AREA2014A,3))</f>
        <v>PLE 10mm</v>
      </c>
      <c r="G58" s="54" t="s">
        <v>83</v>
      </c>
      <c r="H58" s="55">
        <f>IF(A58=0,"PESOU",+VLOOKUP(A58,[3]!AREA2014A,4))*$B$2</f>
        <v>78.5</v>
      </c>
      <c r="I58" s="56" t="str">
        <f>IF(A58=0,"CODIGO", +VLOOKUP(A58,[3]!AREA2014A,13))</f>
        <v>12.54.52.370.07</v>
      </c>
      <c r="J58" s="57">
        <v>140</v>
      </c>
      <c r="K58" s="57">
        <v>100</v>
      </c>
      <c r="L58" s="57">
        <v>3.3000000000000002E-2</v>
      </c>
      <c r="M58" s="57">
        <v>7.0000000000000007E-2</v>
      </c>
      <c r="N58" s="57" t="s">
        <v>48</v>
      </c>
      <c r="O58" s="58">
        <v>1</v>
      </c>
      <c r="P58" s="58">
        <f>O58*$P$54</f>
        <v>2</v>
      </c>
      <c r="Q58" s="59">
        <f>IF(K58="",+H58/1000*J58,+H58/1000*J58/1000*K58)</f>
        <v>1.099</v>
      </c>
      <c r="R58" s="58">
        <f>+Q58*O58</f>
        <v>1.099</v>
      </c>
      <c r="S58" s="58">
        <f>+Q58*P58</f>
        <v>2.198</v>
      </c>
      <c r="T58" s="58"/>
      <c r="U58" s="58"/>
      <c r="V58" s="54" t="str">
        <f>IF(U54&gt;100,"EXTRAPESADO",IF(U54&lt;=100,IF(U54&gt;=60,"PESADO",IF(U54&lt;60,IF(U54&gt;=30,"MEDIANO","LIVIANO")))))</f>
        <v>LIVIANO</v>
      </c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I58" s="58" t="s">
        <v>48</v>
      </c>
      <c r="AJ58" s="52" t="str">
        <f>IF(A58=0,"NORMA", +VLOOKUP(A58,[3]!AREA2014A,15))</f>
        <v>A36</v>
      </c>
      <c r="AL58" s="54" t="str">
        <f>AL57</f>
        <v>TRI4</v>
      </c>
      <c r="AM58" s="54" t="s">
        <v>49</v>
      </c>
    </row>
    <row r="59" spans="1:39" x14ac:dyDescent="0.2">
      <c r="A59" s="60"/>
      <c r="B59" s="60">
        <v>1</v>
      </c>
      <c r="C59" s="61">
        <v>11</v>
      </c>
      <c r="D59" s="43" t="s">
        <v>92</v>
      </c>
      <c r="E59" s="43" t="s">
        <v>80</v>
      </c>
      <c r="F59" s="43" t="str">
        <f>F60</f>
        <v>UPN 100</v>
      </c>
      <c r="G59" s="61" t="str">
        <f>G60</f>
        <v>UPN100</v>
      </c>
      <c r="H59" s="62" t="s">
        <v>48</v>
      </c>
      <c r="I59" s="62"/>
      <c r="J59" s="63">
        <f>MAX(J60:J61)</f>
        <v>1488</v>
      </c>
      <c r="K59" s="63" t="s">
        <v>48</v>
      </c>
      <c r="L59" s="64" t="s">
        <v>48</v>
      </c>
      <c r="M59" s="64" t="s">
        <v>48</v>
      </c>
      <c r="N59" s="63">
        <v>0.6</v>
      </c>
      <c r="O59" s="63">
        <v>1</v>
      </c>
      <c r="P59" s="63">
        <f>O59*TOTALES!$A$1</f>
        <v>1</v>
      </c>
      <c r="Q59" s="64">
        <f>+R59</f>
        <v>16.8718</v>
      </c>
      <c r="R59" s="64">
        <f>SUM(R60:R61)</f>
        <v>16.8718</v>
      </c>
      <c r="S59" s="64" t="s">
        <v>48</v>
      </c>
      <c r="T59" s="64">
        <f>+R59*P59</f>
        <v>16.8718</v>
      </c>
      <c r="U59" s="64">
        <f>R59/(J59/1000)</f>
        <v>11.338575268817205</v>
      </c>
      <c r="V59" s="43" t="str">
        <f>IF(U59&gt;100,"EXTRAPESADO",IF(U59&lt;=100,IF(U59&gt;=60,"PESADO",IF(U59&lt;60,IF(U59&gt;=30,"MEDIANO","LIVIANO")))))</f>
        <v>LIVIANO</v>
      </c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5"/>
      <c r="AI59" s="64" t="s">
        <v>48</v>
      </c>
      <c r="AJ59" s="61" t="str">
        <f>AJ60</f>
        <v>A36</v>
      </c>
      <c r="AK59" s="51"/>
      <c r="AL59" s="43" t="str">
        <f>D59</f>
        <v>TRI5</v>
      </c>
      <c r="AM59" s="43" t="s">
        <v>49</v>
      </c>
    </row>
    <row r="60" spans="1:39" x14ac:dyDescent="0.2">
      <c r="A60" s="52">
        <v>34</v>
      </c>
      <c r="B60" s="53">
        <f>B59</f>
        <v>1</v>
      </c>
      <c r="C60" s="54" t="s">
        <v>48</v>
      </c>
      <c r="D60" s="52" t="s">
        <v>92</v>
      </c>
      <c r="E60" s="54" t="s">
        <v>80</v>
      </c>
      <c r="F60" s="54" t="str">
        <f>IF(A60=0,"SERIE",+VLOOKUP(A60,[3]!AREA2014A,3))</f>
        <v>UPN 100</v>
      </c>
      <c r="G60" s="54" t="s">
        <v>81</v>
      </c>
      <c r="H60" s="55">
        <f>IF(A60=0,"PESOU",+VLOOKUP(A60,[3]!AREA2014A,4))*$B$2</f>
        <v>10.6</v>
      </c>
      <c r="I60" s="56" t="str">
        <f>IF(A60=0,"CODIGO", +VLOOKUP(A60,[3]!AREA2014A,13))</f>
        <v>12.49.80.060.00</v>
      </c>
      <c r="J60" s="57">
        <v>1488</v>
      </c>
      <c r="K60" s="57" t="s">
        <v>48</v>
      </c>
      <c r="L60" s="57">
        <v>0.57999999999999996</v>
      </c>
      <c r="M60" s="57">
        <v>0.57999999999999996</v>
      </c>
      <c r="N60" s="57" t="s">
        <v>48</v>
      </c>
      <c r="O60" s="58">
        <v>1</v>
      </c>
      <c r="P60" s="58">
        <f>O60*$P$59</f>
        <v>1</v>
      </c>
      <c r="Q60" s="59">
        <f>IF(K60="",+H60/1000*J60,+H60/1000*J60/1000*K60)</f>
        <v>15.7728</v>
      </c>
      <c r="R60" s="58">
        <f>+Q60*O60</f>
        <v>15.7728</v>
      </c>
      <c r="S60" s="58">
        <f>+Q60*P60</f>
        <v>15.7728</v>
      </c>
      <c r="T60" s="58"/>
      <c r="U60" s="58"/>
      <c r="V60" s="54" t="str">
        <f>IF(U59&gt;100,"EXTRAPESADO",IF(U59&lt;=100,IF(U59&gt;=60,"PESADO",IF(U59&lt;60,IF(U59&gt;=30,"MEDIANO","LIVIANO")))))</f>
        <v>LIVIANO</v>
      </c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I60" s="58" t="s">
        <v>48</v>
      </c>
      <c r="AJ60" s="52" t="str">
        <f>IF(A60=0,"NORMA", +VLOOKUP(A60,[3]!AREA2014A,15))</f>
        <v>A36</v>
      </c>
      <c r="AL60" s="54" t="str">
        <f>AL59</f>
        <v>TRI5</v>
      </c>
      <c r="AM60" s="54" t="s">
        <v>49</v>
      </c>
    </row>
    <row r="61" spans="1:39" x14ac:dyDescent="0.2">
      <c r="A61" s="52">
        <v>686</v>
      </c>
      <c r="B61" s="53">
        <f>B59</f>
        <v>1</v>
      </c>
      <c r="C61" s="54" t="s">
        <v>48</v>
      </c>
      <c r="D61" s="52" t="s">
        <v>93</v>
      </c>
      <c r="E61" s="54" t="s">
        <v>85</v>
      </c>
      <c r="F61" s="54" t="str">
        <f>IF(A61=0,"SERIE",+VLOOKUP(A61,[3]!AREA2014A,3))</f>
        <v>PLE 10mm</v>
      </c>
      <c r="G61" s="54" t="s">
        <v>83</v>
      </c>
      <c r="H61" s="55">
        <f>IF(A61=0,"PESOU",+VLOOKUP(A61,[3]!AREA2014A,4))*$B$2</f>
        <v>78.5</v>
      </c>
      <c r="I61" s="56" t="str">
        <f>IF(A61=0,"CODIGO", +VLOOKUP(A61,[3]!AREA2014A,13))</f>
        <v>12.54.52.370.07</v>
      </c>
      <c r="J61" s="57">
        <v>140</v>
      </c>
      <c r="K61" s="57">
        <v>100</v>
      </c>
      <c r="L61" s="57">
        <v>3.3000000000000002E-2</v>
      </c>
      <c r="M61" s="57">
        <v>0.03</v>
      </c>
      <c r="N61" s="57" t="s">
        <v>48</v>
      </c>
      <c r="O61" s="58">
        <v>1</v>
      </c>
      <c r="P61" s="58">
        <f>O61*$P$59</f>
        <v>1</v>
      </c>
      <c r="Q61" s="59">
        <f>IF(K61="",+H61/1000*J61,+H61/1000*J61/1000*K61)</f>
        <v>1.099</v>
      </c>
      <c r="R61" s="58">
        <f>+Q61*O61</f>
        <v>1.099</v>
      </c>
      <c r="S61" s="58">
        <f>+Q61*P61</f>
        <v>1.099</v>
      </c>
      <c r="T61" s="58"/>
      <c r="U61" s="58"/>
      <c r="V61" s="54" t="str">
        <f>IF(U59&gt;100,"EXTRAPESADO",IF(U59&lt;=100,IF(U59&gt;=60,"PESADO",IF(U59&lt;60,IF(U59&gt;=30,"MEDIANO","LIVIANO")))))</f>
        <v>LIVIANO</v>
      </c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I61" s="58" t="s">
        <v>48</v>
      </c>
      <c r="AJ61" s="52" t="str">
        <f>IF(A61=0,"NORMA", +VLOOKUP(A61,[3]!AREA2014A,15))</f>
        <v>A36</v>
      </c>
      <c r="AL61" s="54" t="str">
        <f>AL60</f>
        <v>TRI5</v>
      </c>
      <c r="AM61" s="54" t="s">
        <v>49</v>
      </c>
    </row>
    <row r="62" spans="1:39" x14ac:dyDescent="0.2">
      <c r="A62" s="60"/>
      <c r="B62" s="60">
        <v>1</v>
      </c>
      <c r="C62" s="61">
        <v>12</v>
      </c>
      <c r="D62" s="43" t="s">
        <v>94</v>
      </c>
      <c r="E62" s="43" t="s">
        <v>80</v>
      </c>
      <c r="F62" s="43" t="str">
        <f>F63</f>
        <v>UPN 100</v>
      </c>
      <c r="G62" s="61" t="str">
        <f>G63</f>
        <v>UPN100</v>
      </c>
      <c r="H62" s="62" t="s">
        <v>48</v>
      </c>
      <c r="I62" s="62"/>
      <c r="J62" s="63">
        <f>MAX(J63:J65)</f>
        <v>2271</v>
      </c>
      <c r="K62" s="63" t="s">
        <v>48</v>
      </c>
      <c r="L62" s="64" t="s">
        <v>48</v>
      </c>
      <c r="M62" s="64" t="s">
        <v>48</v>
      </c>
      <c r="N62" s="63">
        <v>0.9</v>
      </c>
      <c r="O62" s="63">
        <v>1</v>
      </c>
      <c r="P62" s="63">
        <f>O62*TOTALES!$A$1</f>
        <v>1</v>
      </c>
      <c r="Q62" s="64">
        <f>+R62</f>
        <v>26.521800000000002</v>
      </c>
      <c r="R62" s="64">
        <f>SUM(R63:R65)</f>
        <v>26.521800000000002</v>
      </c>
      <c r="S62" s="64" t="s">
        <v>48</v>
      </c>
      <c r="T62" s="64">
        <f>+R62*P62</f>
        <v>26.521800000000002</v>
      </c>
      <c r="U62" s="64">
        <f>R62/(J62/1000)</f>
        <v>11.678467635402908</v>
      </c>
      <c r="V62" s="43" t="str">
        <f>IF(U62&gt;100,"EXTRAPESADO",IF(U62&lt;=100,IF(U62&gt;=60,"PESADO",IF(U62&lt;60,IF(U62&gt;=30,"MEDIANO","LIVIANO")))))</f>
        <v>LIVIANO</v>
      </c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5"/>
      <c r="AI62" s="64" t="s">
        <v>48</v>
      </c>
      <c r="AJ62" s="61" t="str">
        <f>AJ63</f>
        <v>A36</v>
      </c>
      <c r="AK62" s="51"/>
      <c r="AL62" s="43" t="str">
        <f>D62</f>
        <v>TRI6</v>
      </c>
      <c r="AM62" s="43" t="s">
        <v>49</v>
      </c>
    </row>
    <row r="63" spans="1:39" x14ac:dyDescent="0.2">
      <c r="A63" s="52">
        <v>34</v>
      </c>
      <c r="B63" s="53">
        <f>B62</f>
        <v>1</v>
      </c>
      <c r="C63" s="54" t="s">
        <v>48</v>
      </c>
      <c r="D63" s="52" t="s">
        <v>94</v>
      </c>
      <c r="E63" s="54" t="s">
        <v>80</v>
      </c>
      <c r="F63" s="54" t="str">
        <f>IF(A63=0,"SERIE",+VLOOKUP(A63,[3]!AREA2014A,3))</f>
        <v>UPN 100</v>
      </c>
      <c r="G63" s="54" t="s">
        <v>81</v>
      </c>
      <c r="H63" s="55">
        <f>IF(A63=0,"PESOU",+VLOOKUP(A63,[3]!AREA2014A,4))*$B$2</f>
        <v>10.6</v>
      </c>
      <c r="I63" s="56" t="str">
        <f>IF(A63=0,"CODIGO", +VLOOKUP(A63,[3]!AREA2014A,13))</f>
        <v>12.49.80.060.00</v>
      </c>
      <c r="J63" s="57">
        <v>2271</v>
      </c>
      <c r="K63" s="57" t="s">
        <v>48</v>
      </c>
      <c r="L63" s="57">
        <v>0.86899999999999999</v>
      </c>
      <c r="M63" s="57">
        <v>0.87</v>
      </c>
      <c r="N63" s="57" t="s">
        <v>48</v>
      </c>
      <c r="O63" s="58">
        <v>1</v>
      </c>
      <c r="P63" s="58">
        <f>O63*$P$62</f>
        <v>1</v>
      </c>
      <c r="Q63" s="59">
        <f>IF(K63="",+H63/1000*J63,+H63/1000*J63/1000*K63)</f>
        <v>24.072600000000001</v>
      </c>
      <c r="R63" s="58">
        <f>+Q63*O63</f>
        <v>24.072600000000001</v>
      </c>
      <c r="S63" s="58">
        <f>+Q63*P63</f>
        <v>24.072600000000001</v>
      </c>
      <c r="T63" s="58"/>
      <c r="U63" s="58"/>
      <c r="V63" s="54" t="str">
        <f>IF(U62&gt;100,"EXTRAPESADO",IF(U62&lt;=100,IF(U62&gt;=60,"PESADO",IF(U62&lt;60,IF(U62&gt;=30,"MEDIANO","LIVIANO")))))</f>
        <v>LIVIANO</v>
      </c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I63" s="58" t="s">
        <v>48</v>
      </c>
      <c r="AJ63" s="52" t="str">
        <f>IF(A63=0,"NORMA", +VLOOKUP(A63,[3]!AREA2014A,15))</f>
        <v>A36</v>
      </c>
      <c r="AL63" s="54" t="str">
        <f>AL62</f>
        <v>TRI6</v>
      </c>
      <c r="AM63" s="54" t="s">
        <v>49</v>
      </c>
    </row>
    <row r="64" spans="1:39" x14ac:dyDescent="0.2">
      <c r="A64" s="52">
        <v>686</v>
      </c>
      <c r="B64" s="53">
        <f>B62</f>
        <v>1</v>
      </c>
      <c r="C64" s="54" t="s">
        <v>48</v>
      </c>
      <c r="D64" s="52" t="s">
        <v>93</v>
      </c>
      <c r="E64" s="54" t="s">
        <v>85</v>
      </c>
      <c r="F64" s="54" t="str">
        <f>IF(A64=0,"SERIE",+VLOOKUP(A64,[3]!AREA2014A,3))</f>
        <v>PLE 10mm</v>
      </c>
      <c r="G64" s="54" t="s">
        <v>83</v>
      </c>
      <c r="H64" s="55">
        <f>IF(A64=0,"PESOU",+VLOOKUP(A64,[3]!AREA2014A,4))*$B$2</f>
        <v>78.5</v>
      </c>
      <c r="I64" s="56" t="str">
        <f>IF(A64=0,"CODIGO", +VLOOKUP(A64,[3]!AREA2014A,13))</f>
        <v>12.54.52.370.07</v>
      </c>
      <c r="J64" s="57">
        <v>140</v>
      </c>
      <c r="K64" s="57">
        <v>100</v>
      </c>
      <c r="L64" s="57">
        <v>3.3000000000000002E-2</v>
      </c>
      <c r="M64" s="57">
        <v>0.03</v>
      </c>
      <c r="N64" s="57" t="s">
        <v>48</v>
      </c>
      <c r="O64" s="58">
        <v>1</v>
      </c>
      <c r="P64" s="58">
        <f>O64*$P$62</f>
        <v>1</v>
      </c>
      <c r="Q64" s="59">
        <f>IF(K64="",+H64/1000*J64,+H64/1000*J64/1000*K64)</f>
        <v>1.099</v>
      </c>
      <c r="R64" s="58">
        <f>+Q64*O64</f>
        <v>1.099</v>
      </c>
      <c r="S64" s="58">
        <f>+Q64*P64</f>
        <v>1.099</v>
      </c>
      <c r="T64" s="58"/>
      <c r="U64" s="58"/>
      <c r="V64" s="54" t="str">
        <f>IF(U62&gt;100,"EXTRAPESADO",IF(U62&lt;=100,IF(U62&gt;=60,"PESADO",IF(U62&lt;60,IF(U62&gt;=30,"MEDIANO","LIVIANO")))))</f>
        <v>LIVIANO</v>
      </c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I64" s="58" t="s">
        <v>48</v>
      </c>
      <c r="AJ64" s="52" t="str">
        <f>IF(A64=0,"NORMA", +VLOOKUP(A64,[3]!AREA2014A,15))</f>
        <v>A36</v>
      </c>
      <c r="AL64" s="54" t="str">
        <f>AL63</f>
        <v>TRI6</v>
      </c>
      <c r="AM64" s="54" t="s">
        <v>49</v>
      </c>
    </row>
    <row r="65" spans="1:39" x14ac:dyDescent="0.2">
      <c r="A65" s="52">
        <v>686</v>
      </c>
      <c r="B65" s="53">
        <f>B62</f>
        <v>1</v>
      </c>
      <c r="C65" s="54" t="s">
        <v>48</v>
      </c>
      <c r="D65" s="52" t="s">
        <v>95</v>
      </c>
      <c r="E65" s="54" t="s">
        <v>46</v>
      </c>
      <c r="F65" s="54" t="str">
        <f>IF(A65=0,"SERIE",+VLOOKUP(A65,[3]!AREA2014A,3))</f>
        <v>PLE 10mm</v>
      </c>
      <c r="G65" s="54" t="s">
        <v>83</v>
      </c>
      <c r="H65" s="55">
        <f>IF(A65=0,"PESOU",+VLOOKUP(A65,[3]!AREA2014A,4))*$B$2</f>
        <v>78.5</v>
      </c>
      <c r="I65" s="56" t="str">
        <f>IF(A65=0,"CODIGO", +VLOOKUP(A65,[3]!AREA2014A,13))</f>
        <v>12.54.52.370.07</v>
      </c>
      <c r="J65" s="57">
        <v>172</v>
      </c>
      <c r="K65" s="57">
        <v>100</v>
      </c>
      <c r="L65" s="57">
        <v>0.04</v>
      </c>
      <c r="M65" s="57">
        <v>0.04</v>
      </c>
      <c r="N65" s="57" t="s">
        <v>48</v>
      </c>
      <c r="O65" s="58">
        <v>1</v>
      </c>
      <c r="P65" s="58">
        <f>O65*$P$62</f>
        <v>1</v>
      </c>
      <c r="Q65" s="59">
        <f>IF(K65="",+H65/1000*J65,+H65/1000*J65/1000*K65)</f>
        <v>1.3502000000000001</v>
      </c>
      <c r="R65" s="58">
        <f>+Q65*O65</f>
        <v>1.3502000000000001</v>
      </c>
      <c r="S65" s="58">
        <f>+Q65*P65</f>
        <v>1.3502000000000001</v>
      </c>
      <c r="T65" s="58"/>
      <c r="U65" s="58"/>
      <c r="V65" s="54" t="str">
        <f>IF(U62&gt;100,"EXTRAPESADO",IF(U62&lt;=100,IF(U62&gt;=60,"PESADO",IF(U62&lt;60,IF(U62&gt;=30,"MEDIANO","LIVIANO")))))</f>
        <v>LIVIANO</v>
      </c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I65" s="58" t="s">
        <v>48</v>
      </c>
      <c r="AJ65" s="52" t="str">
        <f>IF(A65=0,"NORMA", +VLOOKUP(A65,[3]!AREA2014A,15))</f>
        <v>A36</v>
      </c>
      <c r="AL65" s="54" t="str">
        <f>AL64</f>
        <v>TRI6</v>
      </c>
      <c r="AM65" s="54" t="s">
        <v>49</v>
      </c>
    </row>
    <row r="66" spans="1:39" x14ac:dyDescent="0.2">
      <c r="A66" s="60"/>
      <c r="B66" s="60">
        <v>1</v>
      </c>
      <c r="C66" s="61">
        <v>13</v>
      </c>
      <c r="D66" s="43" t="s">
        <v>96</v>
      </c>
      <c r="E66" s="43" t="s">
        <v>80</v>
      </c>
      <c r="F66" s="43" t="str">
        <f>F67</f>
        <v>UPN 100</v>
      </c>
      <c r="G66" s="61" t="str">
        <f>G67</f>
        <v>UPN100</v>
      </c>
      <c r="H66" s="62" t="s">
        <v>48</v>
      </c>
      <c r="I66" s="62"/>
      <c r="J66" s="63">
        <f>MAX(J67:J69)</f>
        <v>1957</v>
      </c>
      <c r="K66" s="63" t="s">
        <v>48</v>
      </c>
      <c r="L66" s="64" t="s">
        <v>48</v>
      </c>
      <c r="M66" s="64" t="s">
        <v>48</v>
      </c>
      <c r="N66" s="63">
        <v>0.8</v>
      </c>
      <c r="O66" s="63">
        <v>2</v>
      </c>
      <c r="P66" s="63">
        <f>O66*TOTALES!$A$1</f>
        <v>2</v>
      </c>
      <c r="Q66" s="64">
        <f>+R66</f>
        <v>22.8794</v>
      </c>
      <c r="R66" s="64">
        <f>SUM(R67:R69)</f>
        <v>22.8794</v>
      </c>
      <c r="S66" s="64" t="s">
        <v>48</v>
      </c>
      <c r="T66" s="64">
        <f>+R66*P66</f>
        <v>45.758800000000001</v>
      </c>
      <c r="U66" s="64">
        <f>R66/(J66/1000)</f>
        <v>11.69105774144098</v>
      </c>
      <c r="V66" s="43" t="str">
        <f>IF(U66&gt;100,"EXTRAPESADO",IF(U66&lt;=100,IF(U66&gt;=60,"PESADO",IF(U66&lt;60,IF(U66&gt;=30,"MEDIANO","LIVIANO")))))</f>
        <v>LIVIANO</v>
      </c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5"/>
      <c r="AI66" s="64" t="s">
        <v>48</v>
      </c>
      <c r="AJ66" s="61" t="str">
        <f>AJ67</f>
        <v>A36</v>
      </c>
      <c r="AK66" s="51"/>
      <c r="AL66" s="43" t="str">
        <f>D66</f>
        <v>TRI7</v>
      </c>
      <c r="AM66" s="43" t="s">
        <v>49</v>
      </c>
    </row>
    <row r="67" spans="1:39" x14ac:dyDescent="0.2">
      <c r="A67" s="52">
        <v>34</v>
      </c>
      <c r="B67" s="53">
        <f>B66</f>
        <v>1</v>
      </c>
      <c r="C67" s="54" t="s">
        <v>48</v>
      </c>
      <c r="D67" s="52" t="s">
        <v>96</v>
      </c>
      <c r="E67" s="54" t="s">
        <v>80</v>
      </c>
      <c r="F67" s="54" t="str">
        <f>IF(A67=0,"SERIE",+VLOOKUP(A67,[3]!AREA2014A,3))</f>
        <v>UPN 100</v>
      </c>
      <c r="G67" s="54" t="s">
        <v>81</v>
      </c>
      <c r="H67" s="55">
        <f>IF(A67=0,"PESOU",+VLOOKUP(A67,[3]!AREA2014A,4))*$B$2</f>
        <v>10.6</v>
      </c>
      <c r="I67" s="56" t="str">
        <f>IF(A67=0,"CODIGO", +VLOOKUP(A67,[3]!AREA2014A,13))</f>
        <v>12.49.80.060.00</v>
      </c>
      <c r="J67" s="57">
        <v>1957</v>
      </c>
      <c r="K67" s="57" t="s">
        <v>48</v>
      </c>
      <c r="L67" s="57">
        <v>0.73399999999999999</v>
      </c>
      <c r="M67" s="57">
        <v>1.47</v>
      </c>
      <c r="N67" s="57" t="s">
        <v>48</v>
      </c>
      <c r="O67" s="58">
        <v>1</v>
      </c>
      <c r="P67" s="58">
        <f>O67*$P$66</f>
        <v>2</v>
      </c>
      <c r="Q67" s="59">
        <f>IF(K67="",+H67/1000*J67,+H67/1000*J67/1000*K67)</f>
        <v>20.744199999999999</v>
      </c>
      <c r="R67" s="58">
        <f>+Q67*O67</f>
        <v>20.744199999999999</v>
      </c>
      <c r="S67" s="58">
        <f>+Q67*P67</f>
        <v>41.488399999999999</v>
      </c>
      <c r="T67" s="58"/>
      <c r="U67" s="58"/>
      <c r="V67" s="54" t="str">
        <f>IF(U66&gt;100,"EXTRAPESADO",IF(U66&lt;=100,IF(U66&gt;=60,"PESADO",IF(U66&lt;60,IF(U66&gt;=30,"MEDIANO","LIVIANO")))))</f>
        <v>LIVIANO</v>
      </c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I67" s="58" t="s">
        <v>48</v>
      </c>
      <c r="AJ67" s="52" t="str">
        <f>IF(A67=0,"NORMA", +VLOOKUP(A67,[3]!AREA2014A,15))</f>
        <v>A36</v>
      </c>
      <c r="AL67" s="54" t="str">
        <f>AL66</f>
        <v>TRI7</v>
      </c>
      <c r="AM67" s="54" t="s">
        <v>49</v>
      </c>
    </row>
    <row r="68" spans="1:39" x14ac:dyDescent="0.2">
      <c r="A68" s="52">
        <v>686</v>
      </c>
      <c r="B68" s="53">
        <f>B66</f>
        <v>1</v>
      </c>
      <c r="C68" s="54" t="s">
        <v>48</v>
      </c>
      <c r="D68" s="52" t="s">
        <v>82</v>
      </c>
      <c r="E68" s="54" t="s">
        <v>46</v>
      </c>
      <c r="F68" s="54" t="str">
        <f>IF(A68=0,"SERIE",+VLOOKUP(A68,[3]!AREA2014A,3))</f>
        <v>PLE 10mm</v>
      </c>
      <c r="G68" s="54" t="s">
        <v>83</v>
      </c>
      <c r="H68" s="55">
        <f>IF(A68=0,"PESOU",+VLOOKUP(A68,[3]!AREA2014A,4))*$B$2</f>
        <v>78.5</v>
      </c>
      <c r="I68" s="56" t="str">
        <f>IF(A68=0,"CODIGO", +VLOOKUP(A68,[3]!AREA2014A,13))</f>
        <v>12.54.52.370.07</v>
      </c>
      <c r="J68" s="57">
        <v>172</v>
      </c>
      <c r="K68" s="57">
        <v>100</v>
      </c>
      <c r="L68" s="57">
        <v>0.04</v>
      </c>
      <c r="M68" s="57">
        <v>0.08</v>
      </c>
      <c r="N68" s="57" t="s">
        <v>48</v>
      </c>
      <c r="O68" s="58">
        <v>1</v>
      </c>
      <c r="P68" s="58">
        <f>O68*$P$66</f>
        <v>2</v>
      </c>
      <c r="Q68" s="59">
        <f>IF(K68="",+H68/1000*J68,+H68/1000*J68/1000*K68)</f>
        <v>1.3502000000000001</v>
      </c>
      <c r="R68" s="58">
        <f>+Q68*O68</f>
        <v>1.3502000000000001</v>
      </c>
      <c r="S68" s="58">
        <f>+Q68*P68</f>
        <v>2.7004000000000001</v>
      </c>
      <c r="T68" s="58"/>
      <c r="U68" s="58"/>
      <c r="V68" s="54" t="str">
        <f>IF(U66&gt;100,"EXTRAPESADO",IF(U66&lt;=100,IF(U66&gt;=60,"PESADO",IF(U66&lt;60,IF(U66&gt;=30,"MEDIANO","LIVIANO")))))</f>
        <v>LIVIANO</v>
      </c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I68" s="58" t="s">
        <v>48</v>
      </c>
      <c r="AJ68" s="52" t="str">
        <f>IF(A68=0,"NORMA", +VLOOKUP(A68,[3]!AREA2014A,15))</f>
        <v>A36</v>
      </c>
      <c r="AL68" s="54" t="str">
        <f>AL67</f>
        <v>TRI7</v>
      </c>
      <c r="AM68" s="54" t="s">
        <v>49</v>
      </c>
    </row>
    <row r="69" spans="1:39" x14ac:dyDescent="0.2">
      <c r="A69" s="52">
        <v>686</v>
      </c>
      <c r="B69" s="53">
        <f>B66</f>
        <v>1</v>
      </c>
      <c r="C69" s="54" t="s">
        <v>48</v>
      </c>
      <c r="D69" s="52" t="s">
        <v>84</v>
      </c>
      <c r="E69" s="54" t="s">
        <v>85</v>
      </c>
      <c r="F69" s="54" t="str">
        <f>IF(A69=0,"SERIE",+VLOOKUP(A69,[3]!AREA2014A,3))</f>
        <v>PLE 10mm</v>
      </c>
      <c r="G69" s="54" t="s">
        <v>83</v>
      </c>
      <c r="H69" s="55">
        <f>IF(A69=0,"PESOU",+VLOOKUP(A69,[3]!AREA2014A,4))*$B$2</f>
        <v>78.5</v>
      </c>
      <c r="I69" s="56" t="str">
        <f>IF(A69=0,"CODIGO", +VLOOKUP(A69,[3]!AREA2014A,13))</f>
        <v>12.54.52.370.07</v>
      </c>
      <c r="J69" s="57">
        <v>100</v>
      </c>
      <c r="K69" s="57">
        <v>100</v>
      </c>
      <c r="L69" s="57">
        <v>2.4E-2</v>
      </c>
      <c r="M69" s="57">
        <v>0.05</v>
      </c>
      <c r="N69" s="57" t="s">
        <v>48</v>
      </c>
      <c r="O69" s="58">
        <v>1</v>
      </c>
      <c r="P69" s="58">
        <f>O69*$P$66</f>
        <v>2</v>
      </c>
      <c r="Q69" s="59">
        <f>IF(K69="",+H69/1000*J69,+H69/1000*J69/1000*K69)</f>
        <v>0.78499999999999992</v>
      </c>
      <c r="R69" s="58">
        <f>+Q69*O69</f>
        <v>0.78499999999999992</v>
      </c>
      <c r="S69" s="58">
        <f>+Q69*P69</f>
        <v>1.5699999999999998</v>
      </c>
      <c r="T69" s="58"/>
      <c r="U69" s="58"/>
      <c r="V69" s="54" t="str">
        <f>IF(U66&gt;100,"EXTRAPESADO",IF(U66&lt;=100,IF(U66&gt;=60,"PESADO",IF(U66&lt;60,IF(U66&gt;=30,"MEDIANO","LIVIANO")))))</f>
        <v>LIVIANO</v>
      </c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I69" s="58" t="s">
        <v>48</v>
      </c>
      <c r="AJ69" s="52" t="str">
        <f>IF(A69=0,"NORMA", +VLOOKUP(A69,[3]!AREA2014A,15))</f>
        <v>A36</v>
      </c>
      <c r="AL69" s="54" t="str">
        <f>AL68</f>
        <v>TRI7</v>
      </c>
      <c r="AM69" s="54" t="s">
        <v>49</v>
      </c>
    </row>
    <row r="70" spans="1:39" x14ac:dyDescent="0.2">
      <c r="A70" s="60"/>
      <c r="B70" s="60">
        <v>1</v>
      </c>
      <c r="C70" s="61">
        <v>14</v>
      </c>
      <c r="D70" s="43" t="s">
        <v>97</v>
      </c>
      <c r="E70" s="43" t="s">
        <v>80</v>
      </c>
      <c r="F70" s="43" t="str">
        <f>F71</f>
        <v>UPN 100</v>
      </c>
      <c r="G70" s="61" t="str">
        <f>G71</f>
        <v>UPN100</v>
      </c>
      <c r="H70" s="62" t="s">
        <v>48</v>
      </c>
      <c r="I70" s="62"/>
      <c r="J70" s="63">
        <f>MAX(J71:J73)</f>
        <v>2270</v>
      </c>
      <c r="K70" s="63" t="s">
        <v>48</v>
      </c>
      <c r="L70" s="64" t="s">
        <v>48</v>
      </c>
      <c r="M70" s="64" t="s">
        <v>48</v>
      </c>
      <c r="N70" s="63">
        <v>0.9</v>
      </c>
      <c r="O70" s="63">
        <v>1</v>
      </c>
      <c r="P70" s="63">
        <f>O70*TOTALES!$A$1</f>
        <v>1</v>
      </c>
      <c r="Q70" s="64">
        <f>+R70</f>
        <v>26.4955</v>
      </c>
      <c r="R70" s="64">
        <f>SUM(R71:R73)</f>
        <v>26.4955</v>
      </c>
      <c r="S70" s="64" t="s">
        <v>48</v>
      </c>
      <c r="T70" s="64">
        <f>+R70*P70</f>
        <v>26.4955</v>
      </c>
      <c r="U70" s="64">
        <f>R70/(J70/1000)</f>
        <v>11.672026431718061</v>
      </c>
      <c r="V70" s="43" t="str">
        <f>IF(U70&gt;100,"EXTRAPESADO",IF(U70&lt;=100,IF(U70&gt;=60,"PESADO",IF(U70&lt;60,IF(U70&gt;=30,"MEDIANO","LIVIANO")))))</f>
        <v>LIVIANO</v>
      </c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5"/>
      <c r="AI70" s="64" t="s">
        <v>48</v>
      </c>
      <c r="AJ70" s="61" t="str">
        <f>AJ71</f>
        <v>A36</v>
      </c>
      <c r="AK70" s="51"/>
      <c r="AL70" s="43" t="str">
        <f>D70</f>
        <v>TRI8</v>
      </c>
      <c r="AM70" s="43" t="s">
        <v>49</v>
      </c>
    </row>
    <row r="71" spans="1:39" x14ac:dyDescent="0.2">
      <c r="A71" s="52">
        <v>34</v>
      </c>
      <c r="B71" s="53">
        <f>B70</f>
        <v>1</v>
      </c>
      <c r="C71" s="54" t="s">
        <v>48</v>
      </c>
      <c r="D71" s="52" t="s">
        <v>97</v>
      </c>
      <c r="E71" s="54" t="s">
        <v>80</v>
      </c>
      <c r="F71" s="54" t="str">
        <f>IF(A71=0,"SERIE",+VLOOKUP(A71,[3]!AREA2014A,3))</f>
        <v>UPN 100</v>
      </c>
      <c r="G71" s="54" t="s">
        <v>81</v>
      </c>
      <c r="H71" s="55">
        <f>IF(A71=0,"PESOU",+VLOOKUP(A71,[3]!AREA2014A,4))*$B$2</f>
        <v>10.6</v>
      </c>
      <c r="I71" s="56" t="str">
        <f>IF(A71=0,"CODIGO", +VLOOKUP(A71,[3]!AREA2014A,13))</f>
        <v>12.49.80.060.00</v>
      </c>
      <c r="J71" s="57">
        <v>2270</v>
      </c>
      <c r="K71" s="57" t="s">
        <v>48</v>
      </c>
      <c r="L71" s="57">
        <v>0.86799999999999999</v>
      </c>
      <c r="M71" s="57">
        <v>0.87</v>
      </c>
      <c r="N71" s="57" t="s">
        <v>48</v>
      </c>
      <c r="O71" s="58">
        <v>1</v>
      </c>
      <c r="P71" s="58">
        <f>O71*$P$70</f>
        <v>1</v>
      </c>
      <c r="Q71" s="59">
        <f>IF(K71="",+H71/1000*J71,+H71/1000*J71/1000*K71)</f>
        <v>24.062000000000001</v>
      </c>
      <c r="R71" s="58">
        <f>+Q71*O71</f>
        <v>24.062000000000001</v>
      </c>
      <c r="S71" s="58">
        <f>+Q71*P71</f>
        <v>24.062000000000001</v>
      </c>
      <c r="T71" s="58"/>
      <c r="U71" s="58"/>
      <c r="V71" s="54" t="str">
        <f>IF(U70&gt;100,"EXTRAPESADO",IF(U70&lt;=100,IF(U70&gt;=60,"PESADO",IF(U70&lt;60,IF(U70&gt;=30,"MEDIANO","LIVIANO")))))</f>
        <v>LIVIANO</v>
      </c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I71" s="58" t="s">
        <v>48</v>
      </c>
      <c r="AJ71" s="52" t="str">
        <f>IF(A71=0,"NORMA", +VLOOKUP(A71,[3]!AREA2014A,15))</f>
        <v>A36</v>
      </c>
      <c r="AL71" s="54" t="str">
        <f>AL70</f>
        <v>TRI8</v>
      </c>
      <c r="AM71" s="54" t="s">
        <v>49</v>
      </c>
    </row>
    <row r="72" spans="1:39" x14ac:dyDescent="0.2">
      <c r="A72" s="52">
        <v>686</v>
      </c>
      <c r="B72" s="53">
        <f>B70</f>
        <v>1</v>
      </c>
      <c r="C72" s="54" t="s">
        <v>48</v>
      </c>
      <c r="D72" s="52" t="s">
        <v>90</v>
      </c>
      <c r="E72" s="54" t="s">
        <v>46</v>
      </c>
      <c r="F72" s="54" t="str">
        <f>IF(A72=0,"SERIE",+VLOOKUP(A72,[3]!AREA2014A,3))</f>
        <v>PLE 10mm</v>
      </c>
      <c r="G72" s="54" t="s">
        <v>83</v>
      </c>
      <c r="H72" s="55">
        <f>IF(A72=0,"PESOU",+VLOOKUP(A72,[3]!AREA2014A,4))*$B$2</f>
        <v>78.5</v>
      </c>
      <c r="I72" s="56" t="str">
        <f>IF(A72=0,"CODIGO", +VLOOKUP(A72,[3]!AREA2014A,13))</f>
        <v>12.54.52.370.07</v>
      </c>
      <c r="J72" s="57">
        <v>170</v>
      </c>
      <c r="K72" s="57">
        <v>100</v>
      </c>
      <c r="L72" s="57">
        <v>3.9E-2</v>
      </c>
      <c r="M72" s="57">
        <v>0.04</v>
      </c>
      <c r="N72" s="57" t="s">
        <v>48</v>
      </c>
      <c r="O72" s="58">
        <v>1</v>
      </c>
      <c r="P72" s="58">
        <f>O72*$P$70</f>
        <v>1</v>
      </c>
      <c r="Q72" s="59">
        <f>IF(K72="",+H72/1000*J72,+H72/1000*J72/1000*K72)</f>
        <v>1.3345</v>
      </c>
      <c r="R72" s="58">
        <f>+Q72*O72</f>
        <v>1.3345</v>
      </c>
      <c r="S72" s="58">
        <f>+Q72*P72</f>
        <v>1.3345</v>
      </c>
      <c r="T72" s="58"/>
      <c r="U72" s="58"/>
      <c r="V72" s="54" t="str">
        <f>IF(U70&gt;100,"EXTRAPESADO",IF(U70&lt;=100,IF(U70&gt;=60,"PESADO",IF(U70&lt;60,IF(U70&gt;=30,"MEDIANO","LIVIANO")))))</f>
        <v>LIVIANO</v>
      </c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I72" s="58" t="s">
        <v>48</v>
      </c>
      <c r="AJ72" s="52" t="str">
        <f>IF(A72=0,"NORMA", +VLOOKUP(A72,[3]!AREA2014A,15))</f>
        <v>A36</v>
      </c>
      <c r="AL72" s="54" t="str">
        <f>AL71</f>
        <v>TRI8</v>
      </c>
      <c r="AM72" s="54" t="s">
        <v>49</v>
      </c>
    </row>
    <row r="73" spans="1:39" x14ac:dyDescent="0.2">
      <c r="A73" s="52">
        <v>686</v>
      </c>
      <c r="B73" s="53">
        <f>B70</f>
        <v>1</v>
      </c>
      <c r="C73" s="54" t="s">
        <v>48</v>
      </c>
      <c r="D73" s="52" t="s">
        <v>93</v>
      </c>
      <c r="E73" s="54" t="s">
        <v>85</v>
      </c>
      <c r="F73" s="54" t="str">
        <f>IF(A73=0,"SERIE",+VLOOKUP(A73,[3]!AREA2014A,3))</f>
        <v>PLE 10mm</v>
      </c>
      <c r="G73" s="54" t="s">
        <v>83</v>
      </c>
      <c r="H73" s="55">
        <f>IF(A73=0,"PESOU",+VLOOKUP(A73,[3]!AREA2014A,4))*$B$2</f>
        <v>78.5</v>
      </c>
      <c r="I73" s="56" t="str">
        <f>IF(A73=0,"CODIGO", +VLOOKUP(A73,[3]!AREA2014A,13))</f>
        <v>12.54.52.370.07</v>
      </c>
      <c r="J73" s="57">
        <v>140</v>
      </c>
      <c r="K73" s="57">
        <v>100</v>
      </c>
      <c r="L73" s="57">
        <v>3.3000000000000002E-2</v>
      </c>
      <c r="M73" s="57">
        <v>0.03</v>
      </c>
      <c r="N73" s="57" t="s">
        <v>48</v>
      </c>
      <c r="O73" s="58">
        <v>1</v>
      </c>
      <c r="P73" s="58">
        <f>O73*$P$70</f>
        <v>1</v>
      </c>
      <c r="Q73" s="59">
        <f>IF(K73="",+H73/1000*J73,+H73/1000*J73/1000*K73)</f>
        <v>1.099</v>
      </c>
      <c r="R73" s="58">
        <f>+Q73*O73</f>
        <v>1.099</v>
      </c>
      <c r="S73" s="58">
        <f>+Q73*P73</f>
        <v>1.099</v>
      </c>
      <c r="T73" s="58"/>
      <c r="U73" s="58"/>
      <c r="V73" s="54" t="str">
        <f>IF(U70&gt;100,"EXTRAPESADO",IF(U70&lt;=100,IF(U70&gt;=60,"PESADO",IF(U70&lt;60,IF(U70&gt;=30,"MEDIANO","LIVIANO")))))</f>
        <v>LIVIANO</v>
      </c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I73" s="58" t="s">
        <v>48</v>
      </c>
      <c r="AJ73" s="52" t="str">
        <f>IF(A73=0,"NORMA", +VLOOKUP(A73,[3]!AREA2014A,15))</f>
        <v>A36</v>
      </c>
      <c r="AL73" s="54" t="str">
        <f>AL72</f>
        <v>TRI8</v>
      </c>
      <c r="AM73" s="54" t="s">
        <v>49</v>
      </c>
    </row>
    <row r="74" spans="1:39" x14ac:dyDescent="0.2">
      <c r="A74" s="60"/>
      <c r="B74" s="60">
        <v>1</v>
      </c>
      <c r="C74" s="61">
        <v>15</v>
      </c>
      <c r="D74" s="43" t="s">
        <v>98</v>
      </c>
      <c r="E74" s="43" t="s">
        <v>80</v>
      </c>
      <c r="F74" s="43" t="str">
        <f>F75</f>
        <v>UPN 100</v>
      </c>
      <c r="G74" s="61" t="str">
        <f>G75</f>
        <v>UPN100</v>
      </c>
      <c r="H74" s="62" t="s">
        <v>48</v>
      </c>
      <c r="I74" s="62"/>
      <c r="J74" s="63">
        <f>MAX(J75:J76)</f>
        <v>1488</v>
      </c>
      <c r="K74" s="63" t="s">
        <v>48</v>
      </c>
      <c r="L74" s="64" t="s">
        <v>48</v>
      </c>
      <c r="M74" s="64" t="s">
        <v>48</v>
      </c>
      <c r="N74" s="63">
        <v>0.6</v>
      </c>
      <c r="O74" s="63">
        <v>1</v>
      </c>
      <c r="P74" s="63">
        <f>O74*TOTALES!$A$1</f>
        <v>1</v>
      </c>
      <c r="Q74" s="64">
        <f>+R74</f>
        <v>16.8718</v>
      </c>
      <c r="R74" s="64">
        <f>SUM(R75:R76)</f>
        <v>16.8718</v>
      </c>
      <c r="S74" s="64" t="s">
        <v>48</v>
      </c>
      <c r="T74" s="64">
        <f>+R74*P74</f>
        <v>16.8718</v>
      </c>
      <c r="U74" s="64">
        <f>R74/(J74/1000)</f>
        <v>11.338575268817205</v>
      </c>
      <c r="V74" s="43" t="str">
        <f>IF(U74&gt;100,"EXTRAPESADO",IF(U74&lt;=100,IF(U74&gt;=60,"PESADO",IF(U74&lt;60,IF(U74&gt;=30,"MEDIANO","LIVIANO")))))</f>
        <v>LIVIANO</v>
      </c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5"/>
      <c r="AI74" s="64" t="s">
        <v>48</v>
      </c>
      <c r="AJ74" s="61" t="str">
        <f>AJ75</f>
        <v>A36</v>
      </c>
      <c r="AK74" s="51"/>
      <c r="AL74" s="43" t="str">
        <f>D74</f>
        <v>TRI9</v>
      </c>
      <c r="AM74" s="43" t="s">
        <v>49</v>
      </c>
    </row>
    <row r="75" spans="1:39" x14ac:dyDescent="0.2">
      <c r="A75" s="52">
        <v>34</v>
      </c>
      <c r="B75" s="53">
        <f>B74</f>
        <v>1</v>
      </c>
      <c r="C75" s="54" t="s">
        <v>48</v>
      </c>
      <c r="D75" s="52" t="s">
        <v>98</v>
      </c>
      <c r="E75" s="54" t="s">
        <v>80</v>
      </c>
      <c r="F75" s="54" t="str">
        <f>IF(A75=0,"SERIE",+VLOOKUP(A75,[3]!AREA2014A,3))</f>
        <v>UPN 100</v>
      </c>
      <c r="G75" s="54" t="s">
        <v>81</v>
      </c>
      <c r="H75" s="55">
        <f>IF(A75=0,"PESOU",+VLOOKUP(A75,[3]!AREA2014A,4))*$B$2</f>
        <v>10.6</v>
      </c>
      <c r="I75" s="56" t="str">
        <f>IF(A75=0,"CODIGO", +VLOOKUP(A75,[3]!AREA2014A,13))</f>
        <v>12.49.80.060.00</v>
      </c>
      <c r="J75" s="57">
        <v>1488</v>
      </c>
      <c r="K75" s="57" t="s">
        <v>48</v>
      </c>
      <c r="L75" s="57">
        <v>0.57999999999999996</v>
      </c>
      <c r="M75" s="57">
        <v>0.57999999999999996</v>
      </c>
      <c r="N75" s="57" t="s">
        <v>48</v>
      </c>
      <c r="O75" s="58">
        <v>1</v>
      </c>
      <c r="P75" s="58">
        <f>O75*$P$74</f>
        <v>1</v>
      </c>
      <c r="Q75" s="59">
        <f>IF(K75="",+H75/1000*J75,+H75/1000*J75/1000*K75)</f>
        <v>15.7728</v>
      </c>
      <c r="R75" s="58">
        <f>+Q75*O75</f>
        <v>15.7728</v>
      </c>
      <c r="S75" s="58">
        <f>+Q75*P75</f>
        <v>15.7728</v>
      </c>
      <c r="T75" s="58"/>
      <c r="U75" s="58"/>
      <c r="V75" s="54" t="str">
        <f>IF(U74&gt;100,"EXTRAPESADO",IF(U74&lt;=100,IF(U74&gt;=60,"PESADO",IF(U74&lt;60,IF(U74&gt;=30,"MEDIANO","LIVIANO")))))</f>
        <v>LIVIANO</v>
      </c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I75" s="58" t="s">
        <v>48</v>
      </c>
      <c r="AJ75" s="52" t="str">
        <f>IF(A75=0,"NORMA", +VLOOKUP(A75,[3]!AREA2014A,15))</f>
        <v>A36</v>
      </c>
      <c r="AL75" s="54" t="str">
        <f>AL74</f>
        <v>TRI9</v>
      </c>
      <c r="AM75" s="54" t="s">
        <v>49</v>
      </c>
    </row>
    <row r="76" spans="1:39" x14ac:dyDescent="0.2">
      <c r="A76" s="52">
        <v>686</v>
      </c>
      <c r="B76" s="53">
        <f>B74</f>
        <v>1</v>
      </c>
      <c r="C76" s="54" t="s">
        <v>48</v>
      </c>
      <c r="D76" s="52" t="s">
        <v>99</v>
      </c>
      <c r="E76" s="54" t="s">
        <v>46</v>
      </c>
      <c r="F76" s="54" t="str">
        <f>IF(A76=0,"SERIE",+VLOOKUP(A76,[3]!AREA2014A,3))</f>
        <v>PLE 10mm</v>
      </c>
      <c r="G76" s="54" t="s">
        <v>83</v>
      </c>
      <c r="H76" s="55">
        <f>IF(A76=0,"PESOU",+VLOOKUP(A76,[3]!AREA2014A,4))*$B$2</f>
        <v>78.5</v>
      </c>
      <c r="I76" s="56" t="str">
        <f>IF(A76=0,"CODIGO", +VLOOKUP(A76,[3]!AREA2014A,13))</f>
        <v>12.54.52.370.07</v>
      </c>
      <c r="J76" s="57">
        <v>140</v>
      </c>
      <c r="K76" s="57">
        <v>100</v>
      </c>
      <c r="L76" s="57">
        <v>3.3000000000000002E-2</v>
      </c>
      <c r="M76" s="57">
        <v>0.03</v>
      </c>
      <c r="N76" s="57" t="s">
        <v>48</v>
      </c>
      <c r="O76" s="58">
        <v>1</v>
      </c>
      <c r="P76" s="58">
        <f>O76*$P$74</f>
        <v>1</v>
      </c>
      <c r="Q76" s="59">
        <f>IF(K76="",+H76/1000*J76,+H76/1000*J76/1000*K76)</f>
        <v>1.099</v>
      </c>
      <c r="R76" s="58">
        <f>+Q76*O76</f>
        <v>1.099</v>
      </c>
      <c r="S76" s="58">
        <f>+Q76*P76</f>
        <v>1.099</v>
      </c>
      <c r="T76" s="58"/>
      <c r="U76" s="58"/>
      <c r="V76" s="54" t="str">
        <f>IF(U74&gt;100,"EXTRAPESADO",IF(U74&lt;=100,IF(U74&gt;=60,"PESADO",IF(U74&lt;60,IF(U74&gt;=30,"MEDIANO","LIVIANO")))))</f>
        <v>LIVIANO</v>
      </c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I76" s="58" t="s">
        <v>48</v>
      </c>
      <c r="AJ76" s="52" t="str">
        <f>IF(A76=0,"NORMA", +VLOOKUP(A76,[3]!AREA2014A,15))</f>
        <v>A36</v>
      </c>
      <c r="AL76" s="54" t="str">
        <f>AL75</f>
        <v>TRI9</v>
      </c>
      <c r="AM76" s="54" t="s">
        <v>49</v>
      </c>
    </row>
    <row r="77" spans="1:39" x14ac:dyDescent="0.2">
      <c r="A77" s="60"/>
      <c r="B77" s="60">
        <v>1</v>
      </c>
      <c r="C77" s="61">
        <v>16</v>
      </c>
      <c r="D77" s="43" t="s">
        <v>100</v>
      </c>
      <c r="E77" s="43" t="s">
        <v>80</v>
      </c>
      <c r="F77" s="43" t="str">
        <f>F78</f>
        <v>UPN 100</v>
      </c>
      <c r="G77" s="61" t="str">
        <f>G78</f>
        <v>UPN100</v>
      </c>
      <c r="H77" s="62" t="s">
        <v>48</v>
      </c>
      <c r="I77" s="62"/>
      <c r="J77" s="63">
        <f>MAX(J78:J79)</f>
        <v>1488</v>
      </c>
      <c r="K77" s="63" t="s">
        <v>48</v>
      </c>
      <c r="L77" s="64" t="s">
        <v>48</v>
      </c>
      <c r="M77" s="64" t="s">
        <v>48</v>
      </c>
      <c r="N77" s="63">
        <v>0.6</v>
      </c>
      <c r="O77" s="63">
        <v>1</v>
      </c>
      <c r="P77" s="63">
        <f>O77*TOTALES!$A$1</f>
        <v>1</v>
      </c>
      <c r="Q77" s="64">
        <f>+R77</f>
        <v>17.107299999999999</v>
      </c>
      <c r="R77" s="64">
        <f>SUM(R78:R79)</f>
        <v>17.107299999999999</v>
      </c>
      <c r="S77" s="64" t="s">
        <v>48</v>
      </c>
      <c r="T77" s="64">
        <f>+R77*P77</f>
        <v>17.107299999999999</v>
      </c>
      <c r="U77" s="64">
        <f>R77/(J77/1000)</f>
        <v>11.496841397849462</v>
      </c>
      <c r="V77" s="43" t="str">
        <f>IF(U77&gt;100,"EXTRAPESADO",IF(U77&lt;=100,IF(U77&gt;=60,"PESADO",IF(U77&lt;60,IF(U77&gt;=30,"MEDIANO","LIVIANO")))))</f>
        <v>LIVIANO</v>
      </c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5"/>
      <c r="AI77" s="64" t="s">
        <v>48</v>
      </c>
      <c r="AJ77" s="61" t="str">
        <f>AJ78</f>
        <v>A36</v>
      </c>
      <c r="AK77" s="51"/>
      <c r="AL77" s="43" t="str">
        <f>D77</f>
        <v>TRI10</v>
      </c>
      <c r="AM77" s="43" t="s">
        <v>49</v>
      </c>
    </row>
    <row r="78" spans="1:39" x14ac:dyDescent="0.2">
      <c r="A78" s="52">
        <v>34</v>
      </c>
      <c r="B78" s="53">
        <f>B77</f>
        <v>1</v>
      </c>
      <c r="C78" s="54" t="s">
        <v>48</v>
      </c>
      <c r="D78" s="52" t="s">
        <v>100</v>
      </c>
      <c r="E78" s="54" t="s">
        <v>80</v>
      </c>
      <c r="F78" s="54" t="str">
        <f>IF(A78=0,"SERIE",+VLOOKUP(A78,[3]!AREA2014A,3))</f>
        <v>UPN 100</v>
      </c>
      <c r="G78" s="54" t="s">
        <v>81</v>
      </c>
      <c r="H78" s="55">
        <f>IF(A78=0,"PESOU",+VLOOKUP(A78,[3]!AREA2014A,4))*$B$2</f>
        <v>10.6</v>
      </c>
      <c r="I78" s="56" t="str">
        <f>IF(A78=0,"CODIGO", +VLOOKUP(A78,[3]!AREA2014A,13))</f>
        <v>12.49.80.060.00</v>
      </c>
      <c r="J78" s="57">
        <v>1488</v>
      </c>
      <c r="K78" s="57" t="s">
        <v>48</v>
      </c>
      <c r="L78" s="57">
        <v>0.57999999999999996</v>
      </c>
      <c r="M78" s="57">
        <v>0.57999999999999996</v>
      </c>
      <c r="N78" s="57" t="s">
        <v>48</v>
      </c>
      <c r="O78" s="58">
        <v>1</v>
      </c>
      <c r="P78" s="58">
        <f>O78*$P$77</f>
        <v>1</v>
      </c>
      <c r="Q78" s="59">
        <f>IF(K78="",+H78/1000*J78,+H78/1000*J78/1000*K78)</f>
        <v>15.7728</v>
      </c>
      <c r="R78" s="58">
        <f>+Q78*O78</f>
        <v>15.7728</v>
      </c>
      <c r="S78" s="58">
        <f>+Q78*P78</f>
        <v>15.7728</v>
      </c>
      <c r="T78" s="58"/>
      <c r="U78" s="58"/>
      <c r="V78" s="54" t="str">
        <f>IF(U77&gt;100,"EXTRAPESADO",IF(U77&lt;=100,IF(U77&gt;=60,"PESADO",IF(U77&lt;60,IF(U77&gt;=30,"MEDIANO","LIVIANO")))))</f>
        <v>LIVIANO</v>
      </c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I78" s="58" t="s">
        <v>48</v>
      </c>
      <c r="AJ78" s="52" t="str">
        <f>IF(A78=0,"NORMA", +VLOOKUP(A78,[3]!AREA2014A,15))</f>
        <v>A36</v>
      </c>
      <c r="AL78" s="54" t="str">
        <f>AL77</f>
        <v>TRI10</v>
      </c>
      <c r="AM78" s="54" t="s">
        <v>49</v>
      </c>
    </row>
    <row r="79" spans="1:39" x14ac:dyDescent="0.2">
      <c r="A79" s="52">
        <v>686</v>
      </c>
      <c r="B79" s="53">
        <f>B77</f>
        <v>1</v>
      </c>
      <c r="C79" s="54" t="s">
        <v>48</v>
      </c>
      <c r="D79" s="52" t="s">
        <v>82</v>
      </c>
      <c r="E79" s="54" t="s">
        <v>46</v>
      </c>
      <c r="F79" s="54" t="str">
        <f>IF(A79=0,"SERIE",+VLOOKUP(A79,[3]!AREA2014A,3))</f>
        <v>PLE 10mm</v>
      </c>
      <c r="G79" s="54" t="s">
        <v>83</v>
      </c>
      <c r="H79" s="55">
        <f>IF(A79=0,"PESOU",+VLOOKUP(A79,[3]!AREA2014A,4))*$B$2</f>
        <v>78.5</v>
      </c>
      <c r="I79" s="56" t="str">
        <f>IF(A79=0,"CODIGO", +VLOOKUP(A79,[3]!AREA2014A,13))</f>
        <v>12.54.52.370.07</v>
      </c>
      <c r="J79" s="57">
        <v>170</v>
      </c>
      <c r="K79" s="57">
        <v>100</v>
      </c>
      <c r="L79" s="57">
        <v>3.9E-2</v>
      </c>
      <c r="M79" s="57">
        <v>0.04</v>
      </c>
      <c r="N79" s="57" t="s">
        <v>48</v>
      </c>
      <c r="O79" s="58">
        <v>1</v>
      </c>
      <c r="P79" s="58">
        <f>O79*$P$77</f>
        <v>1</v>
      </c>
      <c r="Q79" s="59">
        <f>IF(K79="",+H79/1000*J79,+H79/1000*J79/1000*K79)</f>
        <v>1.3345</v>
      </c>
      <c r="R79" s="58">
        <f>+Q79*O79</f>
        <v>1.3345</v>
      </c>
      <c r="S79" s="58">
        <f>+Q79*P79</f>
        <v>1.3345</v>
      </c>
      <c r="T79" s="58"/>
      <c r="U79" s="58"/>
      <c r="V79" s="54" t="str">
        <f>IF(U77&gt;100,"EXTRAPESADO",IF(U77&lt;=100,IF(U77&gt;=60,"PESADO",IF(U77&lt;60,IF(U77&gt;=30,"MEDIANO","LIVIANO")))))</f>
        <v>LIVIANO</v>
      </c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I79" s="58" t="s">
        <v>48</v>
      </c>
      <c r="AJ79" s="52" t="str">
        <f>IF(A79=0,"NORMA", +VLOOKUP(A79,[3]!AREA2014A,15))</f>
        <v>A36</v>
      </c>
      <c r="AL79" s="54" t="str">
        <f>AL78</f>
        <v>TRI10</v>
      </c>
      <c r="AM79" s="54" t="s">
        <v>49</v>
      </c>
    </row>
    <row r="80" spans="1:39" x14ac:dyDescent="0.2">
      <c r="A80" s="60"/>
      <c r="B80" s="60">
        <v>1</v>
      </c>
      <c r="C80" s="61">
        <v>17</v>
      </c>
      <c r="D80" s="43" t="s">
        <v>101</v>
      </c>
      <c r="E80" s="43" t="s">
        <v>796</v>
      </c>
      <c r="F80" s="43" t="str">
        <f>F81</f>
        <v>PLE 12mm</v>
      </c>
      <c r="G80" s="61" t="str">
        <f>G81</f>
        <v>HI300-12-20X250</v>
      </c>
      <c r="H80" s="62" t="s">
        <v>48</v>
      </c>
      <c r="I80" s="62"/>
      <c r="J80" s="63">
        <f>MAX(J81:J88)</f>
        <v>2768</v>
      </c>
      <c r="K80" s="63" t="s">
        <v>48</v>
      </c>
      <c r="L80" s="64" t="s">
        <v>48</v>
      </c>
      <c r="M80" s="64" t="s">
        <v>48</v>
      </c>
      <c r="N80" s="63">
        <v>5.6</v>
      </c>
      <c r="O80" s="63">
        <v>2</v>
      </c>
      <c r="P80" s="63">
        <f>O80*TOTALES!$A$1</f>
        <v>2</v>
      </c>
      <c r="Q80" s="64">
        <f>+R80</f>
        <v>348.88866560000008</v>
      </c>
      <c r="R80" s="64">
        <f>SUM(R81:R88)</f>
        <v>348.88866560000008</v>
      </c>
      <c r="S80" s="64" t="s">
        <v>48</v>
      </c>
      <c r="T80" s="64">
        <f>+R80*P80</f>
        <v>697.77733120000016</v>
      </c>
      <c r="U80" s="64">
        <f>R80/(J80/1000)</f>
        <v>126.04359306358386</v>
      </c>
      <c r="V80" s="43" t="str">
        <f>IF(U80&gt;100,"EXTRAPESADO",IF(U80&lt;=100,IF(U80&gt;=60,"PESADO",IF(U80&lt;60,IF(U80&gt;=30,"MEDIANO","LIVIANO")))))</f>
        <v>EXTRAPESADO</v>
      </c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5"/>
      <c r="AI80" s="64" t="s">
        <v>48</v>
      </c>
      <c r="AJ80" s="61" t="str">
        <f>AJ81</f>
        <v>A36</v>
      </c>
      <c r="AK80" s="51"/>
      <c r="AL80" s="43" t="str">
        <f>D80</f>
        <v>TVP1</v>
      </c>
      <c r="AM80" s="43" t="s">
        <v>49</v>
      </c>
    </row>
    <row r="81" spans="1:39" x14ac:dyDescent="0.2">
      <c r="A81" s="52">
        <v>687</v>
      </c>
      <c r="B81" s="53">
        <f>B80</f>
        <v>1</v>
      </c>
      <c r="C81" s="54" t="s">
        <v>48</v>
      </c>
      <c r="D81" s="52" t="s">
        <v>101</v>
      </c>
      <c r="E81" s="54" t="s">
        <v>347</v>
      </c>
      <c r="F81" s="54" t="str">
        <f>IF(A81=0,"SERIE",+VLOOKUP(A81,[3]!AREA2014A,3))</f>
        <v>PLE 12mm</v>
      </c>
      <c r="G81" s="204" t="s">
        <v>102</v>
      </c>
      <c r="H81" s="55">
        <f>IF(A81=0,"PESOU",+VLOOKUP(A81,[3]!AREA2014A,4))*$B$2</f>
        <v>94.2</v>
      </c>
      <c r="I81" s="56" t="str">
        <f>IF(A81=0,"CODIGO", +VLOOKUP(A81,[3]!AREA2014A,13))</f>
        <v>12.54.52.390.00</v>
      </c>
      <c r="J81" s="57">
        <v>2768</v>
      </c>
      <c r="K81" s="57">
        <f>300-40</f>
        <v>260</v>
      </c>
      <c r="L81" s="57">
        <v>4.3890000000000002</v>
      </c>
      <c r="M81" s="57">
        <v>8.7799999999999994</v>
      </c>
      <c r="N81" s="57" t="s">
        <v>48</v>
      </c>
      <c r="O81" s="58">
        <v>1</v>
      </c>
      <c r="P81" s="58">
        <f t="shared" ref="P81:P88" si="22">O81*$P$80</f>
        <v>2</v>
      </c>
      <c r="Q81" s="59">
        <f t="shared" ref="Q81:Q88" si="23">IF(K81="",+H81/1000*J81,+H81/1000*J81/1000*K81)</f>
        <v>67.793856000000005</v>
      </c>
      <c r="R81" s="58">
        <f t="shared" ref="R81:R88" si="24">+Q81*O81</f>
        <v>67.793856000000005</v>
      </c>
      <c r="S81" s="58">
        <f t="shared" ref="S81:S88" si="25">+Q81*P81</f>
        <v>135.58771200000001</v>
      </c>
      <c r="T81" s="58"/>
      <c r="U81" s="58"/>
      <c r="V81" s="54" t="str">
        <f>IF(U80&gt;100,"EXTRAPESADO",IF(U80&lt;=100,IF(U80&gt;=60,"PESADO",IF(U80&lt;60,IF(U80&gt;=30,"MEDIANO","LIVIANO")))))</f>
        <v>EXTRAPESADO</v>
      </c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I81" s="58" t="s">
        <v>48</v>
      </c>
      <c r="AJ81" s="52" t="str">
        <f>IF(A81=0,"NORMA", +VLOOKUP(A81,[3]!AREA2014A,15))</f>
        <v>A36</v>
      </c>
      <c r="AL81" s="54" t="str">
        <f t="shared" ref="AL81:AL88" si="26">AL80</f>
        <v>TVP1</v>
      </c>
      <c r="AM81" s="54" t="s">
        <v>49</v>
      </c>
    </row>
    <row r="82" spans="1:39" x14ac:dyDescent="0.2">
      <c r="A82" s="52">
        <v>693</v>
      </c>
      <c r="B82" s="53">
        <f>B81</f>
        <v>1</v>
      </c>
      <c r="C82" s="54" t="s">
        <v>48</v>
      </c>
      <c r="D82" s="52" t="s">
        <v>101</v>
      </c>
      <c r="E82" s="54" t="s">
        <v>791</v>
      </c>
      <c r="F82" s="54" t="str">
        <f>IF(A82=0,"SERIE",+VLOOKUP(A82,[3]!AREA2014A,3))</f>
        <v>PLE 20mm</v>
      </c>
      <c r="G82" s="204" t="s">
        <v>102</v>
      </c>
      <c r="H82" s="55">
        <f>IF(A82=0,"PESOU",+VLOOKUP(A82,[3]!AREA2014A,4))*$B$2</f>
        <v>157</v>
      </c>
      <c r="I82" s="56" t="str">
        <f>IF(A82=0,"CODIGO", +VLOOKUP(A82,[3]!AREA2014A,13))</f>
        <v>12.54.52.470.03</v>
      </c>
      <c r="J82" s="57">
        <v>2768</v>
      </c>
      <c r="K82" s="57">
        <v>250</v>
      </c>
      <c r="L82" s="57">
        <v>4.3890000000000002</v>
      </c>
      <c r="M82" s="57">
        <v>8.7799999999999994</v>
      </c>
      <c r="N82" s="57" t="s">
        <v>48</v>
      </c>
      <c r="O82" s="58">
        <v>2</v>
      </c>
      <c r="P82" s="58">
        <f t="shared" si="22"/>
        <v>4</v>
      </c>
      <c r="Q82" s="59">
        <f t="shared" ref="Q82" si="27">IF(K82="",+H82/1000*J82,+H82/1000*J82/1000*K82)</f>
        <v>108.64400000000001</v>
      </c>
      <c r="R82" s="58">
        <f t="shared" ref="R82" si="28">+Q82*O82</f>
        <v>217.28800000000001</v>
      </c>
      <c r="S82" s="58">
        <f t="shared" ref="S82" si="29">+Q82*P82</f>
        <v>434.57600000000002</v>
      </c>
      <c r="T82" s="58"/>
      <c r="U82" s="58"/>
      <c r="V82" s="54" t="str">
        <f>IF(U81&gt;100,"EXTRAPESADO",IF(U81&lt;=100,IF(U81&gt;=60,"PESADO",IF(U81&lt;60,IF(U81&gt;=30,"MEDIANO","LIVIANO")))))</f>
        <v>LIVIANO</v>
      </c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I82" s="58" t="s">
        <v>48</v>
      </c>
      <c r="AJ82" s="52" t="str">
        <f>IF(A82=0,"NORMA", +VLOOKUP(A82,[3]!AREA2014A,15))</f>
        <v>A36</v>
      </c>
      <c r="AL82" s="54" t="str">
        <f t="shared" ref="AL82" si="30">AL81</f>
        <v>TVP1</v>
      </c>
      <c r="AM82" s="54" t="s">
        <v>49</v>
      </c>
    </row>
    <row r="83" spans="1:39" x14ac:dyDescent="0.2">
      <c r="A83" s="52">
        <v>693</v>
      </c>
      <c r="B83" s="53">
        <f>B80</f>
        <v>1</v>
      </c>
      <c r="C83" s="54" t="s">
        <v>48</v>
      </c>
      <c r="D83" s="52" t="s">
        <v>103</v>
      </c>
      <c r="E83" s="54" t="s">
        <v>104</v>
      </c>
      <c r="F83" s="54" t="str">
        <f>IF(A83=0,"SERIE",+VLOOKUP(A83,[3]!AREA2014A,3))</f>
        <v>PLE 20mm</v>
      </c>
      <c r="G83" s="54" t="s">
        <v>61</v>
      </c>
      <c r="H83" s="55">
        <f>IF(A83=0,"PESOU",+VLOOKUP(A83,[3]!AREA2014A,4))*$B$2</f>
        <v>157</v>
      </c>
      <c r="I83" s="56" t="str">
        <f>IF(A83=0,"CODIGO", +VLOOKUP(A83,[3]!AREA2014A,13))</f>
        <v>12.54.52.470.03</v>
      </c>
      <c r="J83" s="57">
        <v>310</v>
      </c>
      <c r="K83" s="57">
        <v>250</v>
      </c>
      <c r="L83" s="57">
        <v>0.17699999999999999</v>
      </c>
      <c r="M83" s="57">
        <v>0.35</v>
      </c>
      <c r="N83" s="57" t="s">
        <v>48</v>
      </c>
      <c r="O83" s="58">
        <v>1</v>
      </c>
      <c r="P83" s="58">
        <f t="shared" si="22"/>
        <v>2</v>
      </c>
      <c r="Q83" s="59">
        <f t="shared" si="23"/>
        <v>12.1675</v>
      </c>
      <c r="R83" s="58">
        <f t="shared" si="24"/>
        <v>12.1675</v>
      </c>
      <c r="S83" s="58">
        <f t="shared" si="25"/>
        <v>24.335000000000001</v>
      </c>
      <c r="T83" s="58"/>
      <c r="U83" s="58"/>
      <c r="V83" s="54" t="str">
        <f>IF(U80&gt;100,"EXTRAPESADO",IF(U80&lt;=100,IF(U80&gt;=60,"PESADO",IF(U80&lt;60,IF(U80&gt;=30,"MEDIANO","LIVIANO")))))</f>
        <v>EXTRAPESADO</v>
      </c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I83" s="58" t="s">
        <v>48</v>
      </c>
      <c r="AJ83" s="52" t="str">
        <f>IF(A83=0,"NORMA", +VLOOKUP(A83,[3]!AREA2014A,15))</f>
        <v>A36</v>
      </c>
      <c r="AL83" s="54" t="str">
        <f>AL81</f>
        <v>TVP1</v>
      </c>
      <c r="AM83" s="54" t="s">
        <v>49</v>
      </c>
    </row>
    <row r="84" spans="1:39" x14ac:dyDescent="0.2">
      <c r="A84" s="52">
        <v>693</v>
      </c>
      <c r="B84" s="53">
        <f>B80</f>
        <v>1</v>
      </c>
      <c r="C84" s="54" t="s">
        <v>48</v>
      </c>
      <c r="D84" s="52" t="s">
        <v>105</v>
      </c>
      <c r="E84" s="54" t="s">
        <v>46</v>
      </c>
      <c r="F84" s="54" t="str">
        <f>IF(A84=0,"SERIE",+VLOOKUP(A84,[3]!AREA2014A,3))</f>
        <v>PLE 20mm</v>
      </c>
      <c r="G84" s="54" t="s">
        <v>61</v>
      </c>
      <c r="H84" s="55">
        <f>IF(A84=0,"PESOU",+VLOOKUP(A84,[3]!AREA2014A,4))*$B$2</f>
        <v>157</v>
      </c>
      <c r="I84" s="56" t="str">
        <f>IF(A84=0,"CODIGO", +VLOOKUP(A84,[3]!AREA2014A,13))</f>
        <v>12.54.52.470.03</v>
      </c>
      <c r="J84" s="57">
        <v>310</v>
      </c>
      <c r="K84" s="57">
        <v>250</v>
      </c>
      <c r="L84" s="57">
        <v>0.17699999999999999</v>
      </c>
      <c r="M84" s="57">
        <v>0.35</v>
      </c>
      <c r="N84" s="57" t="s">
        <v>48</v>
      </c>
      <c r="O84" s="58">
        <v>1</v>
      </c>
      <c r="P84" s="58">
        <f t="shared" si="22"/>
        <v>2</v>
      </c>
      <c r="Q84" s="59">
        <f t="shared" si="23"/>
        <v>12.1675</v>
      </c>
      <c r="R84" s="58">
        <f t="shared" si="24"/>
        <v>12.1675</v>
      </c>
      <c r="S84" s="58">
        <f t="shared" si="25"/>
        <v>24.335000000000001</v>
      </c>
      <c r="T84" s="58"/>
      <c r="U84" s="58"/>
      <c r="V84" s="54" t="str">
        <f>IF(U80&gt;100,"EXTRAPESADO",IF(U80&lt;=100,IF(U80&gt;=60,"PESADO",IF(U80&lt;60,IF(U80&gt;=30,"MEDIANO","LIVIANO")))))</f>
        <v>EXTRAPESADO</v>
      </c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I84" s="58" t="s">
        <v>48</v>
      </c>
      <c r="AJ84" s="52" t="str">
        <f>IF(A84=0,"NORMA", +VLOOKUP(A84,[3]!AREA2014A,15))</f>
        <v>A36</v>
      </c>
      <c r="AL84" s="54" t="str">
        <f t="shared" si="26"/>
        <v>TVP1</v>
      </c>
      <c r="AM84" s="54" t="s">
        <v>49</v>
      </c>
    </row>
    <row r="85" spans="1:39" x14ac:dyDescent="0.2">
      <c r="A85" s="52">
        <v>693</v>
      </c>
      <c r="B85" s="53">
        <f>B80</f>
        <v>1</v>
      </c>
      <c r="C85" s="54" t="s">
        <v>48</v>
      </c>
      <c r="D85" s="52" t="s">
        <v>106</v>
      </c>
      <c r="E85" s="54" t="s">
        <v>107</v>
      </c>
      <c r="F85" s="54" t="str">
        <f>IF(A85=0,"SERIE",+VLOOKUP(A85,[3]!AREA2014A,3))</f>
        <v>PLE 20mm</v>
      </c>
      <c r="G85" s="54" t="s">
        <v>108</v>
      </c>
      <c r="H85" s="55">
        <f>IF(A85=0,"PESOU",+VLOOKUP(A85,[3]!AREA2014A,4))*$B$2</f>
        <v>157</v>
      </c>
      <c r="I85" s="56" t="str">
        <f>IF(A85=0,"CODIGO", +VLOOKUP(A85,[3]!AREA2014A,13))</f>
        <v>12.54.52.470.03</v>
      </c>
      <c r="J85" s="57">
        <v>310</v>
      </c>
      <c r="K85" s="57">
        <v>300</v>
      </c>
      <c r="L85" s="57">
        <v>0.21</v>
      </c>
      <c r="M85" s="57">
        <v>0.42</v>
      </c>
      <c r="N85" s="57" t="s">
        <v>48</v>
      </c>
      <c r="O85" s="58">
        <v>1</v>
      </c>
      <c r="P85" s="58">
        <f t="shared" si="22"/>
        <v>2</v>
      </c>
      <c r="Q85" s="59">
        <f t="shared" si="23"/>
        <v>14.601000000000001</v>
      </c>
      <c r="R85" s="58">
        <f t="shared" si="24"/>
        <v>14.601000000000001</v>
      </c>
      <c r="S85" s="58">
        <f t="shared" si="25"/>
        <v>29.202000000000002</v>
      </c>
      <c r="T85" s="58"/>
      <c r="U85" s="58"/>
      <c r="V85" s="54" t="str">
        <f>IF(U80&gt;100,"EXTRAPESADO",IF(U80&lt;=100,IF(U80&gt;=60,"PESADO",IF(U80&lt;60,IF(U80&gt;=30,"MEDIANO","LIVIANO")))))</f>
        <v>EXTRAPESADO</v>
      </c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I85" s="58" t="s">
        <v>48</v>
      </c>
      <c r="AJ85" s="52" t="str">
        <f>IF(A85=0,"NORMA", +VLOOKUP(A85,[3]!AREA2014A,15))</f>
        <v>A36</v>
      </c>
      <c r="AL85" s="54" t="str">
        <f t="shared" si="26"/>
        <v>TVP1</v>
      </c>
      <c r="AM85" s="54" t="s">
        <v>49</v>
      </c>
    </row>
    <row r="86" spans="1:39" x14ac:dyDescent="0.2">
      <c r="A86" s="52">
        <v>687</v>
      </c>
      <c r="B86" s="53">
        <f>B80</f>
        <v>1</v>
      </c>
      <c r="C86" s="54" t="s">
        <v>48</v>
      </c>
      <c r="D86" s="52" t="s">
        <v>109</v>
      </c>
      <c r="E86" s="54" t="s">
        <v>110</v>
      </c>
      <c r="F86" s="54" t="str">
        <f>IF(A86=0,"SERIE",+VLOOKUP(A86,[3]!AREA2014A,3))</f>
        <v>PLE 12mm</v>
      </c>
      <c r="G86" s="54" t="s">
        <v>111</v>
      </c>
      <c r="H86" s="55">
        <f>IF(A86=0,"PESOU",+VLOOKUP(A86,[3]!AREA2014A,4))*$B$2</f>
        <v>94.2</v>
      </c>
      <c r="I86" s="56" t="str">
        <f>IF(A86=0,"CODIGO", +VLOOKUP(A86,[3]!AREA2014A,13))</f>
        <v>12.54.52.390.00</v>
      </c>
      <c r="J86" s="57">
        <v>256</v>
      </c>
      <c r="K86" s="57">
        <v>119</v>
      </c>
      <c r="L86" s="57">
        <v>6.7000000000000004E-2</v>
      </c>
      <c r="M86" s="57">
        <v>0.13</v>
      </c>
      <c r="N86" s="57" t="s">
        <v>48</v>
      </c>
      <c r="O86" s="58">
        <v>1</v>
      </c>
      <c r="P86" s="58">
        <f t="shared" si="22"/>
        <v>2</v>
      </c>
      <c r="Q86" s="59">
        <f t="shared" si="23"/>
        <v>2.8697088000000002</v>
      </c>
      <c r="R86" s="58">
        <f t="shared" si="24"/>
        <v>2.8697088000000002</v>
      </c>
      <c r="S86" s="58">
        <f t="shared" si="25"/>
        <v>5.7394176000000003</v>
      </c>
      <c r="T86" s="58"/>
      <c r="U86" s="58"/>
      <c r="V86" s="54" t="str">
        <f>IF(U80&gt;100,"EXTRAPESADO",IF(U80&lt;=100,IF(U80&gt;=60,"PESADO",IF(U80&lt;60,IF(U80&gt;=30,"MEDIANO","LIVIANO")))))</f>
        <v>EXTRAPESADO</v>
      </c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I86" s="58" t="s">
        <v>48</v>
      </c>
      <c r="AJ86" s="52" t="str">
        <f>IF(A86=0,"NORMA", +VLOOKUP(A86,[3]!AREA2014A,15))</f>
        <v>A36</v>
      </c>
      <c r="AL86" s="54" t="str">
        <f t="shared" si="26"/>
        <v>TVP1</v>
      </c>
      <c r="AM86" s="54" t="s">
        <v>49</v>
      </c>
    </row>
    <row r="87" spans="1:39" x14ac:dyDescent="0.2">
      <c r="A87" s="52">
        <v>687</v>
      </c>
      <c r="B87" s="53">
        <f>B80</f>
        <v>1</v>
      </c>
      <c r="C87" s="54" t="s">
        <v>48</v>
      </c>
      <c r="D87" s="52" t="s">
        <v>112</v>
      </c>
      <c r="E87" s="54" t="s">
        <v>110</v>
      </c>
      <c r="F87" s="54" t="str">
        <f>IF(A87=0,"SERIE",+VLOOKUP(A87,[3]!AREA2014A,3))</f>
        <v>PLE 12mm</v>
      </c>
      <c r="G87" s="54" t="s">
        <v>111</v>
      </c>
      <c r="H87" s="55">
        <f>IF(A87=0,"PESOU",+VLOOKUP(A87,[3]!AREA2014A,4))*$B$2</f>
        <v>94.2</v>
      </c>
      <c r="I87" s="56" t="str">
        <f>IF(A87=0,"CODIGO", +VLOOKUP(A87,[3]!AREA2014A,13))</f>
        <v>12.54.52.390.00</v>
      </c>
      <c r="J87" s="57">
        <v>256</v>
      </c>
      <c r="K87" s="57">
        <v>119</v>
      </c>
      <c r="L87" s="57">
        <v>6.8000000000000005E-2</v>
      </c>
      <c r="M87" s="57">
        <v>0.14000000000000001</v>
      </c>
      <c r="N87" s="57" t="s">
        <v>48</v>
      </c>
      <c r="O87" s="58">
        <v>1</v>
      </c>
      <c r="P87" s="58">
        <f t="shared" si="22"/>
        <v>2</v>
      </c>
      <c r="Q87" s="59">
        <f t="shared" si="23"/>
        <v>2.8697088000000002</v>
      </c>
      <c r="R87" s="58">
        <f t="shared" si="24"/>
        <v>2.8697088000000002</v>
      </c>
      <c r="S87" s="58">
        <f t="shared" si="25"/>
        <v>5.7394176000000003</v>
      </c>
      <c r="T87" s="58"/>
      <c r="U87" s="58"/>
      <c r="V87" s="54" t="str">
        <f>IF(U80&gt;100,"EXTRAPESADO",IF(U80&lt;=100,IF(U80&gt;=60,"PESADO",IF(U80&lt;60,IF(U80&gt;=30,"MEDIANO","LIVIANO")))))</f>
        <v>EXTRAPESADO</v>
      </c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I87" s="58" t="s">
        <v>48</v>
      </c>
      <c r="AJ87" s="52" t="str">
        <f>IF(A87=0,"NORMA", +VLOOKUP(A87,[3]!AREA2014A,15))</f>
        <v>A36</v>
      </c>
      <c r="AL87" s="54" t="str">
        <f t="shared" si="26"/>
        <v>TVP1</v>
      </c>
      <c r="AM87" s="54" t="s">
        <v>49</v>
      </c>
    </row>
    <row r="88" spans="1:39" x14ac:dyDescent="0.2">
      <c r="A88" s="52">
        <v>686</v>
      </c>
      <c r="B88" s="53">
        <f>B80</f>
        <v>1</v>
      </c>
      <c r="C88" s="54" t="s">
        <v>48</v>
      </c>
      <c r="D88" s="52" t="s">
        <v>113</v>
      </c>
      <c r="E88" s="54" t="s">
        <v>110</v>
      </c>
      <c r="F88" s="54" t="str">
        <f>IF(A88=0,"SERIE",+VLOOKUP(A88,[3]!AREA2014A,3))</f>
        <v>PLE 10mm</v>
      </c>
      <c r="G88" s="54" t="s">
        <v>114</v>
      </c>
      <c r="H88" s="55">
        <f>IF(A88=0,"PESOU",+VLOOKUP(A88,[3]!AREA2014A,4))*$B$2</f>
        <v>78.5</v>
      </c>
      <c r="I88" s="56" t="str">
        <f>IF(A88=0,"CODIGO", +VLOOKUP(A88,[3]!AREA2014A,13))</f>
        <v>12.54.52.370.07</v>
      </c>
      <c r="J88" s="57">
        <v>256</v>
      </c>
      <c r="K88" s="57">
        <v>119</v>
      </c>
      <c r="L88" s="57">
        <v>6.7000000000000004E-2</v>
      </c>
      <c r="M88" s="57">
        <v>1.07</v>
      </c>
      <c r="N88" s="57" t="s">
        <v>48</v>
      </c>
      <c r="O88" s="58">
        <v>8</v>
      </c>
      <c r="P88" s="58">
        <f t="shared" si="22"/>
        <v>16</v>
      </c>
      <c r="Q88" s="59">
        <f t="shared" si="23"/>
        <v>2.3914239999999998</v>
      </c>
      <c r="R88" s="58">
        <f t="shared" si="24"/>
        <v>19.131391999999998</v>
      </c>
      <c r="S88" s="58">
        <f t="shared" si="25"/>
        <v>38.262783999999996</v>
      </c>
      <c r="T88" s="58"/>
      <c r="U88" s="58"/>
      <c r="V88" s="54" t="str">
        <f>IF(U80&gt;100,"EXTRAPESADO",IF(U80&lt;=100,IF(U80&gt;=60,"PESADO",IF(U80&lt;60,IF(U80&gt;=30,"MEDIANO","LIVIANO")))))</f>
        <v>EXTRAPESADO</v>
      </c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I88" s="58" t="s">
        <v>48</v>
      </c>
      <c r="AJ88" s="52" t="str">
        <f>IF(A88=0,"NORMA", +VLOOKUP(A88,[3]!AREA2014A,15))</f>
        <v>A36</v>
      </c>
      <c r="AL88" s="54" t="str">
        <f t="shared" si="26"/>
        <v>TVP1</v>
      </c>
      <c r="AM88" s="54" t="s">
        <v>49</v>
      </c>
    </row>
    <row r="89" spans="1:39" x14ac:dyDescent="0.2">
      <c r="A89" s="60"/>
      <c r="B89" s="60">
        <v>1</v>
      </c>
      <c r="C89" s="61">
        <v>18</v>
      </c>
      <c r="D89" s="43" t="s">
        <v>115</v>
      </c>
      <c r="E89" s="43" t="s">
        <v>797</v>
      </c>
      <c r="F89" s="43" t="str">
        <f>F90</f>
        <v>PLE 12mm</v>
      </c>
      <c r="G89" s="61" t="str">
        <f>G90</f>
        <v>HI340-12-20X250</v>
      </c>
      <c r="H89" s="62" t="s">
        <v>48</v>
      </c>
      <c r="I89" s="62"/>
      <c r="J89" s="63">
        <f>MAX(J90:J98)</f>
        <v>2768</v>
      </c>
      <c r="K89" s="63" t="s">
        <v>48</v>
      </c>
      <c r="L89" s="64" t="s">
        <v>48</v>
      </c>
      <c r="M89" s="64" t="s">
        <v>48</v>
      </c>
      <c r="N89" s="63">
        <v>6</v>
      </c>
      <c r="O89" s="63">
        <v>1</v>
      </c>
      <c r="P89" s="63">
        <f>O89*TOTALES!$A$1</f>
        <v>1</v>
      </c>
      <c r="Q89" s="64">
        <f>+R89</f>
        <v>368.22855360000011</v>
      </c>
      <c r="R89" s="64">
        <f>SUM(R90:R98)</f>
        <v>368.22855360000011</v>
      </c>
      <c r="S89" s="64" t="s">
        <v>48</v>
      </c>
      <c r="T89" s="64">
        <f>+R89*P89</f>
        <v>368.22855360000011</v>
      </c>
      <c r="U89" s="64">
        <f>R89/(J89/1000)</f>
        <v>133.03054682080929</v>
      </c>
      <c r="V89" s="43" t="str">
        <f>IF(U89&gt;100,"EXTRAPESADO",IF(U89&lt;=100,IF(U89&gt;=60,"PESADO",IF(U89&lt;60,IF(U89&gt;=30,"MEDIANO","LIVIANO")))))</f>
        <v>EXTRAPESADO</v>
      </c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5"/>
      <c r="AI89" s="64" t="s">
        <v>48</v>
      </c>
      <c r="AJ89" s="61" t="str">
        <f>AJ90</f>
        <v>A36</v>
      </c>
      <c r="AK89" s="51"/>
      <c r="AL89" s="43" t="str">
        <f>D89</f>
        <v>TVP2</v>
      </c>
      <c r="AM89" s="43" t="s">
        <v>49</v>
      </c>
    </row>
    <row r="90" spans="1:39" x14ac:dyDescent="0.2">
      <c r="A90" s="52">
        <v>687</v>
      </c>
      <c r="B90" s="53">
        <f>B89</f>
        <v>1</v>
      </c>
      <c r="C90" s="54" t="s">
        <v>48</v>
      </c>
      <c r="D90" s="52" t="s">
        <v>115</v>
      </c>
      <c r="E90" s="54" t="s">
        <v>347</v>
      </c>
      <c r="F90" s="54" t="str">
        <f>IF(A90=0,"SERIE",+VLOOKUP(A90,[3]!AREA2014A,3))</f>
        <v>PLE 12mm</v>
      </c>
      <c r="G90" s="204" t="s">
        <v>116</v>
      </c>
      <c r="H90" s="55">
        <f>IF(A90=0,"PESOU",+VLOOKUP(A90,[3]!AREA2014A,4))*$B$2</f>
        <v>94.2</v>
      </c>
      <c r="I90" s="56" t="str">
        <f>IF(A90=0,"CODIGO", +VLOOKUP(A90,[3]!AREA2014A,13))</f>
        <v>12.54.52.390.00</v>
      </c>
      <c r="J90" s="57">
        <v>2768</v>
      </c>
      <c r="K90" s="205">
        <f>340-40</f>
        <v>300</v>
      </c>
      <c r="L90" s="57">
        <v>4.6109999999999998</v>
      </c>
      <c r="M90" s="57">
        <v>4.6100000000000003</v>
      </c>
      <c r="N90" s="57" t="s">
        <v>48</v>
      </c>
      <c r="O90" s="58">
        <v>1</v>
      </c>
      <c r="P90" s="58">
        <f t="shared" ref="P90:P98" si="31">O90*$P$89</f>
        <v>1</v>
      </c>
      <c r="Q90" s="59">
        <f t="shared" ref="Q90:Q98" si="32">IF(K90="",+H90/1000*J90,+H90/1000*J90/1000*K90)</f>
        <v>78.223680000000002</v>
      </c>
      <c r="R90" s="58">
        <f t="shared" ref="R90:R98" si="33">+Q90*O90</f>
        <v>78.223680000000002</v>
      </c>
      <c r="S90" s="58">
        <f t="shared" ref="S90:S98" si="34">+Q90*P90</f>
        <v>78.223680000000002</v>
      </c>
      <c r="T90" s="58"/>
      <c r="U90" s="58"/>
      <c r="V90" s="54" t="str">
        <f>IF(U89&gt;100,"EXTRAPESADO",IF(U89&lt;=100,IF(U89&gt;=60,"PESADO",IF(U89&lt;60,IF(U89&gt;=30,"MEDIANO","LIVIANO")))))</f>
        <v>EXTRAPESADO</v>
      </c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I90" s="58" t="s">
        <v>48</v>
      </c>
      <c r="AJ90" s="52" t="str">
        <f>IF(A90=0,"NORMA", +VLOOKUP(A90,[3]!AREA2014A,15))</f>
        <v>A36</v>
      </c>
      <c r="AL90" s="54" t="str">
        <f t="shared" ref="AL90:AL98" si="35">AL89</f>
        <v>TVP2</v>
      </c>
      <c r="AM90" s="54" t="s">
        <v>49</v>
      </c>
    </row>
    <row r="91" spans="1:39" x14ac:dyDescent="0.2">
      <c r="A91" s="52">
        <v>693</v>
      </c>
      <c r="B91" s="53">
        <f>B90</f>
        <v>1</v>
      </c>
      <c r="C91" s="54" t="s">
        <v>48</v>
      </c>
      <c r="D91" s="52" t="s">
        <v>115</v>
      </c>
      <c r="E91" s="54" t="s">
        <v>791</v>
      </c>
      <c r="F91" s="54" t="str">
        <f>IF(A91=0,"SERIE",+VLOOKUP(A91,[3]!AREA2014A,3))</f>
        <v>PLE 20mm</v>
      </c>
      <c r="G91" s="204" t="s">
        <v>116</v>
      </c>
      <c r="H91" s="55">
        <f>IF(A91=0,"PESOU",+VLOOKUP(A91,[3]!AREA2014A,4))*$B$2</f>
        <v>157</v>
      </c>
      <c r="I91" s="56" t="str">
        <f>IF(A91=0,"CODIGO", +VLOOKUP(A91,[3]!AREA2014A,13))</f>
        <v>12.54.52.470.03</v>
      </c>
      <c r="J91" s="57">
        <v>2768</v>
      </c>
      <c r="K91" s="57">
        <v>250</v>
      </c>
      <c r="L91" s="57">
        <v>4.6109999999999998</v>
      </c>
      <c r="M91" s="57">
        <v>4.6100000000000003</v>
      </c>
      <c r="N91" s="57" t="s">
        <v>48</v>
      </c>
      <c r="O91" s="58">
        <v>2</v>
      </c>
      <c r="P91" s="58">
        <f t="shared" si="31"/>
        <v>2</v>
      </c>
      <c r="Q91" s="59">
        <f t="shared" ref="Q91" si="36">IF(K91="",+H91/1000*J91,+H91/1000*J91/1000*K91)</f>
        <v>108.64400000000001</v>
      </c>
      <c r="R91" s="58">
        <f t="shared" ref="R91" si="37">+Q91*O91</f>
        <v>217.28800000000001</v>
      </c>
      <c r="S91" s="58">
        <f t="shared" ref="S91" si="38">+Q91*P91</f>
        <v>217.28800000000001</v>
      </c>
      <c r="T91" s="58"/>
      <c r="U91" s="58"/>
      <c r="V91" s="54" t="str">
        <f>IF(U90&gt;100,"EXTRAPESADO",IF(U90&lt;=100,IF(U90&gt;=60,"PESADO",IF(U90&lt;60,IF(U90&gt;=30,"MEDIANO","LIVIANO")))))</f>
        <v>LIVIANO</v>
      </c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I91" s="58" t="s">
        <v>48</v>
      </c>
      <c r="AJ91" s="52" t="str">
        <f>IF(A91=0,"NORMA", +VLOOKUP(A91,[3]!AREA2014A,15))</f>
        <v>A36</v>
      </c>
      <c r="AL91" s="54" t="str">
        <f t="shared" ref="AL91" si="39">AL90</f>
        <v>TVP2</v>
      </c>
      <c r="AM91" s="54" t="s">
        <v>49</v>
      </c>
    </row>
    <row r="92" spans="1:39" x14ac:dyDescent="0.2">
      <c r="A92" s="52">
        <v>693</v>
      </c>
      <c r="B92" s="53">
        <f>B89</f>
        <v>1</v>
      </c>
      <c r="C92" s="54" t="s">
        <v>48</v>
      </c>
      <c r="D92" s="52" t="s">
        <v>117</v>
      </c>
      <c r="E92" s="54" t="s">
        <v>104</v>
      </c>
      <c r="F92" s="54" t="str">
        <f>IF(A92=0,"SERIE",+VLOOKUP(A92,[3]!AREA2014A,3))</f>
        <v>PLE 20mm</v>
      </c>
      <c r="G92" s="54" t="s">
        <v>61</v>
      </c>
      <c r="H92" s="55">
        <f>IF(A92=0,"PESOU",+VLOOKUP(A92,[3]!AREA2014A,4))*$B$2</f>
        <v>157</v>
      </c>
      <c r="I92" s="56" t="str">
        <f>IF(A92=0,"CODIGO", +VLOOKUP(A92,[3]!AREA2014A,13))</f>
        <v>12.54.52.470.03</v>
      </c>
      <c r="J92" s="57">
        <v>350</v>
      </c>
      <c r="K92" s="57">
        <v>250</v>
      </c>
      <c r="L92" s="57">
        <v>0.19900000000000001</v>
      </c>
      <c r="M92" s="57">
        <v>0.2</v>
      </c>
      <c r="N92" s="57" t="s">
        <v>48</v>
      </c>
      <c r="O92" s="58">
        <v>1</v>
      </c>
      <c r="P92" s="58">
        <f t="shared" si="31"/>
        <v>1</v>
      </c>
      <c r="Q92" s="59">
        <f t="shared" si="32"/>
        <v>13.737500000000001</v>
      </c>
      <c r="R92" s="58">
        <f t="shared" si="33"/>
        <v>13.737500000000001</v>
      </c>
      <c r="S92" s="58">
        <f t="shared" si="34"/>
        <v>13.737500000000001</v>
      </c>
      <c r="T92" s="58"/>
      <c r="U92" s="58"/>
      <c r="V92" s="54" t="str">
        <f>IF(U89&gt;100,"EXTRAPESADO",IF(U89&lt;=100,IF(U89&gt;=60,"PESADO",IF(U89&lt;60,IF(U89&gt;=30,"MEDIANO","LIVIANO")))))</f>
        <v>EXTRAPESADO</v>
      </c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I92" s="58" t="s">
        <v>48</v>
      </c>
      <c r="AJ92" s="52" t="str">
        <f>IF(A92=0,"NORMA", +VLOOKUP(A92,[3]!AREA2014A,15))</f>
        <v>A36</v>
      </c>
      <c r="AL92" s="54" t="str">
        <f>AL90</f>
        <v>TVP2</v>
      </c>
      <c r="AM92" s="54" t="s">
        <v>49</v>
      </c>
    </row>
    <row r="93" spans="1:39" x14ac:dyDescent="0.2">
      <c r="A93" s="52">
        <v>693</v>
      </c>
      <c r="B93" s="53">
        <f>B89</f>
        <v>1</v>
      </c>
      <c r="C93" s="54" t="s">
        <v>48</v>
      </c>
      <c r="D93" s="52" t="s">
        <v>118</v>
      </c>
      <c r="E93" s="54" t="s">
        <v>46</v>
      </c>
      <c r="F93" s="54" t="str">
        <f>IF(A93=0,"SERIE",+VLOOKUP(A93,[3]!AREA2014A,3))</f>
        <v>PLE 20mm</v>
      </c>
      <c r="G93" s="54" t="s">
        <v>61</v>
      </c>
      <c r="H93" s="55">
        <f>IF(A93=0,"PESOU",+VLOOKUP(A93,[3]!AREA2014A,4))*$B$2</f>
        <v>157</v>
      </c>
      <c r="I93" s="56" t="str">
        <f>IF(A93=0,"CODIGO", +VLOOKUP(A93,[3]!AREA2014A,13))</f>
        <v>12.54.52.470.03</v>
      </c>
      <c r="J93" s="57">
        <v>350</v>
      </c>
      <c r="K93" s="57">
        <v>250</v>
      </c>
      <c r="L93" s="57">
        <v>0.19900000000000001</v>
      </c>
      <c r="M93" s="57">
        <v>0.2</v>
      </c>
      <c r="N93" s="57" t="s">
        <v>48</v>
      </c>
      <c r="O93" s="58">
        <v>1</v>
      </c>
      <c r="P93" s="58">
        <f t="shared" si="31"/>
        <v>1</v>
      </c>
      <c r="Q93" s="59">
        <f t="shared" si="32"/>
        <v>13.737500000000001</v>
      </c>
      <c r="R93" s="58">
        <f t="shared" si="33"/>
        <v>13.737500000000001</v>
      </c>
      <c r="S93" s="58">
        <f t="shared" si="34"/>
        <v>13.737500000000001</v>
      </c>
      <c r="T93" s="58"/>
      <c r="U93" s="58"/>
      <c r="V93" s="54" t="str">
        <f>IF(U89&gt;100,"EXTRAPESADO",IF(U89&lt;=100,IF(U89&gt;=60,"PESADO",IF(U89&lt;60,IF(U89&gt;=30,"MEDIANO","LIVIANO")))))</f>
        <v>EXTRAPESADO</v>
      </c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I93" s="58" t="s">
        <v>48</v>
      </c>
      <c r="AJ93" s="52" t="str">
        <f>IF(A93=0,"NORMA", +VLOOKUP(A93,[3]!AREA2014A,15))</f>
        <v>A36</v>
      </c>
      <c r="AL93" s="54" t="str">
        <f t="shared" si="35"/>
        <v>TVP2</v>
      </c>
      <c r="AM93" s="54" t="s">
        <v>49</v>
      </c>
    </row>
    <row r="94" spans="1:39" x14ac:dyDescent="0.2">
      <c r="A94" s="52">
        <v>693</v>
      </c>
      <c r="B94" s="53">
        <f>B89</f>
        <v>1</v>
      </c>
      <c r="C94" s="54" t="s">
        <v>48</v>
      </c>
      <c r="D94" s="52" t="s">
        <v>119</v>
      </c>
      <c r="E94" s="54" t="s">
        <v>107</v>
      </c>
      <c r="F94" s="54" t="str">
        <f>IF(A94=0,"SERIE",+VLOOKUP(A94,[3]!AREA2014A,3))</f>
        <v>PLE 20mm</v>
      </c>
      <c r="G94" s="54" t="s">
        <v>108</v>
      </c>
      <c r="H94" s="55">
        <f>IF(A94=0,"PESOU",+VLOOKUP(A94,[3]!AREA2014A,4))*$B$2</f>
        <v>157</v>
      </c>
      <c r="I94" s="56" t="str">
        <f>IF(A94=0,"CODIGO", +VLOOKUP(A94,[3]!AREA2014A,13))</f>
        <v>12.54.52.470.03</v>
      </c>
      <c r="J94" s="57">
        <v>350</v>
      </c>
      <c r="K94" s="57">
        <v>300</v>
      </c>
      <c r="L94" s="57">
        <v>0.23599999999999999</v>
      </c>
      <c r="M94" s="57">
        <v>0.24</v>
      </c>
      <c r="N94" s="57" t="s">
        <v>48</v>
      </c>
      <c r="O94" s="58">
        <v>1</v>
      </c>
      <c r="P94" s="58">
        <f t="shared" si="31"/>
        <v>1</v>
      </c>
      <c r="Q94" s="59">
        <f t="shared" si="32"/>
        <v>16.485000000000003</v>
      </c>
      <c r="R94" s="58">
        <f t="shared" si="33"/>
        <v>16.485000000000003</v>
      </c>
      <c r="S94" s="58">
        <f t="shared" si="34"/>
        <v>16.485000000000003</v>
      </c>
      <c r="T94" s="58"/>
      <c r="U94" s="58"/>
      <c r="V94" s="54" t="str">
        <f>IF(U89&gt;100,"EXTRAPESADO",IF(U89&lt;=100,IF(U89&gt;=60,"PESADO",IF(U89&lt;60,IF(U89&gt;=30,"MEDIANO","LIVIANO")))))</f>
        <v>EXTRAPESADO</v>
      </c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I94" s="58" t="s">
        <v>48</v>
      </c>
      <c r="AJ94" s="52" t="str">
        <f>IF(A94=0,"NORMA", +VLOOKUP(A94,[3]!AREA2014A,15))</f>
        <v>A36</v>
      </c>
      <c r="AL94" s="54" t="str">
        <f t="shared" si="35"/>
        <v>TVP2</v>
      </c>
      <c r="AM94" s="54" t="s">
        <v>49</v>
      </c>
    </row>
    <row r="95" spans="1:39" x14ac:dyDescent="0.2">
      <c r="A95" s="52">
        <v>687</v>
      </c>
      <c r="B95" s="53">
        <f>B89</f>
        <v>1</v>
      </c>
      <c r="C95" s="54" t="s">
        <v>48</v>
      </c>
      <c r="D95" s="52" t="s">
        <v>120</v>
      </c>
      <c r="E95" s="54" t="s">
        <v>110</v>
      </c>
      <c r="F95" s="54" t="str">
        <f>IF(A95=0,"SERIE",+VLOOKUP(A95,[3]!AREA2014A,3))</f>
        <v>PLE 12mm</v>
      </c>
      <c r="G95" s="54" t="s">
        <v>111</v>
      </c>
      <c r="H95" s="55">
        <f>IF(A95=0,"PESOU",+VLOOKUP(A95,[3]!AREA2014A,4))*$B$2</f>
        <v>94.2</v>
      </c>
      <c r="I95" s="56" t="str">
        <f>IF(A95=0,"CODIGO", +VLOOKUP(A95,[3]!AREA2014A,13))</f>
        <v>12.54.52.390.00</v>
      </c>
      <c r="J95" s="57">
        <v>296</v>
      </c>
      <c r="K95" s="57">
        <v>119</v>
      </c>
      <c r="L95" s="57">
        <v>7.6999999999999999E-2</v>
      </c>
      <c r="M95" s="57">
        <v>0.08</v>
      </c>
      <c r="N95" s="57" t="s">
        <v>48</v>
      </c>
      <c r="O95" s="58">
        <v>1</v>
      </c>
      <c r="P95" s="58">
        <f t="shared" si="31"/>
        <v>1</v>
      </c>
      <c r="Q95" s="59">
        <f t="shared" si="32"/>
        <v>3.3181008000000003</v>
      </c>
      <c r="R95" s="58">
        <f t="shared" si="33"/>
        <v>3.3181008000000003</v>
      </c>
      <c r="S95" s="58">
        <f t="shared" si="34"/>
        <v>3.3181008000000003</v>
      </c>
      <c r="T95" s="58"/>
      <c r="U95" s="58"/>
      <c r="V95" s="54" t="str">
        <f>IF(U89&gt;100,"EXTRAPESADO",IF(U89&lt;=100,IF(U89&gt;=60,"PESADO",IF(U89&lt;60,IF(U89&gt;=30,"MEDIANO","LIVIANO")))))</f>
        <v>EXTRAPESADO</v>
      </c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I95" s="58" t="s">
        <v>48</v>
      </c>
      <c r="AJ95" s="52" t="str">
        <f>IF(A95=0,"NORMA", +VLOOKUP(A95,[3]!AREA2014A,15))</f>
        <v>A36</v>
      </c>
      <c r="AL95" s="54" t="str">
        <f t="shared" si="35"/>
        <v>TVP2</v>
      </c>
      <c r="AM95" s="54" t="s">
        <v>49</v>
      </c>
    </row>
    <row r="96" spans="1:39" x14ac:dyDescent="0.2">
      <c r="A96" s="52">
        <v>687</v>
      </c>
      <c r="B96" s="53">
        <f>B89</f>
        <v>1</v>
      </c>
      <c r="C96" s="54" t="s">
        <v>48</v>
      </c>
      <c r="D96" s="52" t="s">
        <v>121</v>
      </c>
      <c r="E96" s="54" t="s">
        <v>110</v>
      </c>
      <c r="F96" s="54" t="str">
        <f>IF(A96=0,"SERIE",+VLOOKUP(A96,[3]!AREA2014A,3))</f>
        <v>PLE 12mm</v>
      </c>
      <c r="G96" s="54" t="s">
        <v>111</v>
      </c>
      <c r="H96" s="55">
        <f>IF(A96=0,"PESOU",+VLOOKUP(A96,[3]!AREA2014A,4))*$B$2</f>
        <v>94.2</v>
      </c>
      <c r="I96" s="56" t="str">
        <f>IF(A96=0,"CODIGO", +VLOOKUP(A96,[3]!AREA2014A,13))</f>
        <v>12.54.52.390.00</v>
      </c>
      <c r="J96" s="57">
        <v>296</v>
      </c>
      <c r="K96" s="57">
        <v>119</v>
      </c>
      <c r="L96" s="57">
        <v>7.9000000000000001E-2</v>
      </c>
      <c r="M96" s="57">
        <v>0.08</v>
      </c>
      <c r="N96" s="57" t="s">
        <v>48</v>
      </c>
      <c r="O96" s="58">
        <v>1</v>
      </c>
      <c r="P96" s="58">
        <f t="shared" si="31"/>
        <v>1</v>
      </c>
      <c r="Q96" s="59">
        <f t="shared" si="32"/>
        <v>3.3181008000000003</v>
      </c>
      <c r="R96" s="58">
        <f t="shared" si="33"/>
        <v>3.3181008000000003</v>
      </c>
      <c r="S96" s="58">
        <f t="shared" si="34"/>
        <v>3.3181008000000003</v>
      </c>
      <c r="T96" s="58"/>
      <c r="U96" s="58"/>
      <c r="V96" s="54" t="str">
        <f>IF(U89&gt;100,"EXTRAPESADO",IF(U89&lt;=100,IF(U89&gt;=60,"PESADO",IF(U89&lt;60,IF(U89&gt;=30,"MEDIANO","LIVIANO")))))</f>
        <v>EXTRAPESADO</v>
      </c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I96" s="58" t="s">
        <v>48</v>
      </c>
      <c r="AJ96" s="52" t="str">
        <f>IF(A96=0,"NORMA", +VLOOKUP(A96,[3]!AREA2014A,15))</f>
        <v>A36</v>
      </c>
      <c r="AL96" s="54" t="str">
        <f t="shared" si="35"/>
        <v>TVP2</v>
      </c>
      <c r="AM96" s="54" t="s">
        <v>49</v>
      </c>
    </row>
    <row r="97" spans="1:39" x14ac:dyDescent="0.2">
      <c r="A97" s="52">
        <v>686</v>
      </c>
      <c r="B97" s="53">
        <f>B89</f>
        <v>1</v>
      </c>
      <c r="C97" s="54" t="s">
        <v>48</v>
      </c>
      <c r="D97" s="52" t="s">
        <v>122</v>
      </c>
      <c r="E97" s="54" t="s">
        <v>110</v>
      </c>
      <c r="F97" s="54" t="str">
        <f>IF(A97=0,"SERIE",+VLOOKUP(A97,[3]!AREA2014A,3))</f>
        <v>PLE 10mm</v>
      </c>
      <c r="G97" s="54" t="s">
        <v>114</v>
      </c>
      <c r="H97" s="55">
        <f>IF(A97=0,"PESOU",+VLOOKUP(A97,[3]!AREA2014A,4))*$B$2</f>
        <v>78.5</v>
      </c>
      <c r="I97" s="56" t="str">
        <f>IF(A97=0,"CODIGO", +VLOOKUP(A97,[3]!AREA2014A,13))</f>
        <v>12.54.52.370.07</v>
      </c>
      <c r="J97" s="57">
        <v>296</v>
      </c>
      <c r="K97" s="57">
        <v>119</v>
      </c>
      <c r="L97" s="57">
        <v>7.6999999999999999E-2</v>
      </c>
      <c r="M97" s="57">
        <v>0.08</v>
      </c>
      <c r="N97" s="57" t="s">
        <v>48</v>
      </c>
      <c r="O97" s="58">
        <v>1</v>
      </c>
      <c r="P97" s="58">
        <f t="shared" si="31"/>
        <v>1</v>
      </c>
      <c r="Q97" s="59">
        <f t="shared" si="32"/>
        <v>2.7650839999999999</v>
      </c>
      <c r="R97" s="58">
        <f t="shared" si="33"/>
        <v>2.7650839999999999</v>
      </c>
      <c r="S97" s="58">
        <f t="shared" si="34"/>
        <v>2.7650839999999999</v>
      </c>
      <c r="T97" s="58"/>
      <c r="U97" s="58"/>
      <c r="V97" s="54" t="str">
        <f>IF(U89&gt;100,"EXTRAPESADO",IF(U89&lt;=100,IF(U89&gt;=60,"PESADO",IF(U89&lt;60,IF(U89&gt;=30,"MEDIANO","LIVIANO")))))</f>
        <v>EXTRAPESADO</v>
      </c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I97" s="58" t="s">
        <v>48</v>
      </c>
      <c r="AJ97" s="52" t="str">
        <f>IF(A97=0,"NORMA", +VLOOKUP(A97,[3]!AREA2014A,15))</f>
        <v>A36</v>
      </c>
      <c r="AL97" s="54" t="str">
        <f t="shared" si="35"/>
        <v>TVP2</v>
      </c>
      <c r="AM97" s="54" t="s">
        <v>49</v>
      </c>
    </row>
    <row r="98" spans="1:39" x14ac:dyDescent="0.2">
      <c r="A98" s="52">
        <v>686</v>
      </c>
      <c r="B98" s="53">
        <f>B89</f>
        <v>1</v>
      </c>
      <c r="C98" s="54" t="s">
        <v>48</v>
      </c>
      <c r="D98" s="52" t="s">
        <v>123</v>
      </c>
      <c r="E98" s="54" t="s">
        <v>110</v>
      </c>
      <c r="F98" s="54" t="str">
        <f>IF(A98=0,"SERIE",+VLOOKUP(A98,[3]!AREA2014A,3))</f>
        <v>PLE 10mm</v>
      </c>
      <c r="G98" s="54" t="s">
        <v>114</v>
      </c>
      <c r="H98" s="55">
        <f>IF(A98=0,"PESOU",+VLOOKUP(A98,[3]!AREA2014A,4))*$B$2</f>
        <v>78.5</v>
      </c>
      <c r="I98" s="56" t="str">
        <f>IF(A98=0,"CODIGO", +VLOOKUP(A98,[3]!AREA2014A,13))</f>
        <v>12.54.52.370.07</v>
      </c>
      <c r="J98" s="57">
        <v>296</v>
      </c>
      <c r="K98" s="57">
        <v>119</v>
      </c>
      <c r="L98" s="57">
        <v>7.6999999999999999E-2</v>
      </c>
      <c r="M98" s="57">
        <v>0.54</v>
      </c>
      <c r="N98" s="57" t="s">
        <v>48</v>
      </c>
      <c r="O98" s="58">
        <v>7</v>
      </c>
      <c r="P98" s="58">
        <f t="shared" si="31"/>
        <v>7</v>
      </c>
      <c r="Q98" s="59">
        <f t="shared" si="32"/>
        <v>2.7650839999999999</v>
      </c>
      <c r="R98" s="58">
        <f t="shared" si="33"/>
        <v>19.355587999999997</v>
      </c>
      <c r="S98" s="58">
        <f t="shared" si="34"/>
        <v>19.355587999999997</v>
      </c>
      <c r="T98" s="58"/>
      <c r="U98" s="58"/>
      <c r="V98" s="54" t="str">
        <f>IF(U89&gt;100,"EXTRAPESADO",IF(U89&lt;=100,IF(U89&gt;=60,"PESADO",IF(U89&lt;60,IF(U89&gt;=30,"MEDIANO","LIVIANO")))))</f>
        <v>EXTRAPESADO</v>
      </c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I98" s="58" t="s">
        <v>48</v>
      </c>
      <c r="AJ98" s="52" t="str">
        <f>IF(A98=0,"NORMA", +VLOOKUP(A98,[3]!AREA2014A,15))</f>
        <v>A36</v>
      </c>
      <c r="AL98" s="54" t="str">
        <f t="shared" si="35"/>
        <v>TVP2</v>
      </c>
      <c r="AM98" s="54" t="s">
        <v>49</v>
      </c>
    </row>
    <row r="99" spans="1:39" x14ac:dyDescent="0.2">
      <c r="A99" s="60"/>
      <c r="B99" s="60">
        <v>1</v>
      </c>
      <c r="C99" s="61">
        <v>19</v>
      </c>
      <c r="D99" s="43" t="s">
        <v>124</v>
      </c>
      <c r="E99" s="43" t="s">
        <v>795</v>
      </c>
      <c r="F99" s="43" t="str">
        <f>F100</f>
        <v>PLE 12mm</v>
      </c>
      <c r="G99" s="61" t="str">
        <f>G100</f>
        <v>HEB340</v>
      </c>
      <c r="H99" s="62" t="s">
        <v>48</v>
      </c>
      <c r="I99" s="62"/>
      <c r="J99" s="63">
        <f>MAX(J100:J110)</f>
        <v>6668</v>
      </c>
      <c r="K99" s="63" t="s">
        <v>48</v>
      </c>
      <c r="L99" s="64" t="s">
        <v>48</v>
      </c>
      <c r="M99" s="64" t="s">
        <v>48</v>
      </c>
      <c r="N99" s="63">
        <v>15.8</v>
      </c>
      <c r="O99" s="63">
        <v>1</v>
      </c>
      <c r="P99" s="63">
        <f>O99*TOTALES!$A$1</f>
        <v>1</v>
      </c>
      <c r="Q99" s="64">
        <f>+R99</f>
        <v>1071.3347787999996</v>
      </c>
      <c r="R99" s="64">
        <f>SUM(R100:R110)</f>
        <v>1071.3347787999996</v>
      </c>
      <c r="S99" s="64" t="s">
        <v>48</v>
      </c>
      <c r="T99" s="64">
        <f>+R99*P99</f>
        <v>1071.3347787999996</v>
      </c>
      <c r="U99" s="64">
        <f>R99/(J99/1000)</f>
        <v>160.66808320335926</v>
      </c>
      <c r="V99" s="43" t="str">
        <f>IF(U99&gt;100,"EXTRAPESADO",IF(U99&lt;=100,IF(U99&gt;=60,"PESADO",IF(U99&lt;60,IF(U99&gt;=30,"MEDIANO","LIVIANO")))))</f>
        <v>EXTRAPESADO</v>
      </c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5"/>
      <c r="AI99" s="64" t="s">
        <v>48</v>
      </c>
      <c r="AJ99" s="61" t="str">
        <f>AJ100</f>
        <v>A36</v>
      </c>
      <c r="AK99" s="51"/>
      <c r="AL99" s="43" t="str">
        <f>D99</f>
        <v>TVP3</v>
      </c>
      <c r="AM99" s="43" t="s">
        <v>49</v>
      </c>
    </row>
    <row r="100" spans="1:39" x14ac:dyDescent="0.2">
      <c r="A100" s="52">
        <v>687</v>
      </c>
      <c r="B100" s="53">
        <f>B99</f>
        <v>1</v>
      </c>
      <c r="C100" s="54" t="s">
        <v>48</v>
      </c>
      <c r="D100" s="52" t="s">
        <v>124</v>
      </c>
      <c r="E100" s="54" t="s">
        <v>347</v>
      </c>
      <c r="F100" s="54" t="str">
        <f>IF(A100=0,"SERIE",+VLOOKUP(A100,[3]!AREA2014A,3))</f>
        <v>PLE 12mm</v>
      </c>
      <c r="G100" s="204" t="s">
        <v>125</v>
      </c>
      <c r="H100" s="55">
        <f>IF(A100=0,"PESOU",+VLOOKUP(A100,[3]!AREA2014A,4))*$B$2</f>
        <v>94.2</v>
      </c>
      <c r="I100" s="56" t="str">
        <f>IF(A100=0,"CODIGO", +VLOOKUP(A100,[3]!AREA2014A,13))</f>
        <v>12.54.52.390.00</v>
      </c>
      <c r="J100" s="57">
        <v>6668</v>
      </c>
      <c r="K100" s="57">
        <f>340-22-22</f>
        <v>296</v>
      </c>
      <c r="L100" s="57">
        <v>12.409000000000001</v>
      </c>
      <c r="M100" s="57">
        <v>12.41</v>
      </c>
      <c r="N100" s="57" t="s">
        <v>48</v>
      </c>
      <c r="O100" s="58">
        <v>1</v>
      </c>
      <c r="P100" s="58">
        <f t="shared" ref="P100:P110" si="40">O100*$P$99</f>
        <v>1</v>
      </c>
      <c r="Q100" s="59">
        <f t="shared" ref="Q100:Q110" si="41">IF(K100="",+H100/1000*J100,+H100/1000*J100/1000*K100)</f>
        <v>185.92517760000001</v>
      </c>
      <c r="R100" s="58">
        <f t="shared" ref="R100:R110" si="42">+Q100*O100</f>
        <v>185.92517760000001</v>
      </c>
      <c r="S100" s="58">
        <f t="shared" ref="S100:S110" si="43">+Q100*P100</f>
        <v>185.92517760000001</v>
      </c>
      <c r="T100" s="58"/>
      <c r="U100" s="58"/>
      <c r="V100" s="54" t="str">
        <f>IF(U99&gt;100,"EXTRAPESADO",IF(U99&lt;=100,IF(U99&gt;=60,"PESADO",IF(U99&lt;60,IF(U99&gt;=30,"MEDIANO","LIVIANO")))))</f>
        <v>EXTRAPESADO</v>
      </c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I100" s="58" t="s">
        <v>48</v>
      </c>
      <c r="AJ100" s="52" t="str">
        <f>IF(A100=0,"NORMA", +VLOOKUP(A100,[3]!AREA2014A,15))</f>
        <v>A36</v>
      </c>
      <c r="AL100" s="54" t="str">
        <f t="shared" ref="AL100:AL110" si="44">AL99</f>
        <v>TVP3</v>
      </c>
      <c r="AM100" s="54" t="s">
        <v>49</v>
      </c>
    </row>
    <row r="101" spans="1:39" x14ac:dyDescent="0.2">
      <c r="A101" s="52">
        <v>694</v>
      </c>
      <c r="B101" s="53">
        <f>B100</f>
        <v>1</v>
      </c>
      <c r="C101" s="54" t="s">
        <v>48</v>
      </c>
      <c r="D101" s="52" t="s">
        <v>124</v>
      </c>
      <c r="E101" s="54" t="s">
        <v>791</v>
      </c>
      <c r="F101" s="54" t="str">
        <f>IF(A101=0,"SERIE",+VLOOKUP(A101,[3]!AREA2014A,3))</f>
        <v>PLE 22mm</v>
      </c>
      <c r="G101" s="204" t="s">
        <v>125</v>
      </c>
      <c r="H101" s="55">
        <f>IF(A101=0,"PESOU",+VLOOKUP(A101,[3]!AREA2014A,4))*$B$2</f>
        <v>172.7</v>
      </c>
      <c r="I101" s="56" t="str">
        <f>IF(A101=0,"CODIGO", +VLOOKUP(A101,[3]!AREA2014A,13))</f>
        <v>12.54.52.490.00</v>
      </c>
      <c r="J101" s="57">
        <v>6668</v>
      </c>
      <c r="K101" s="57">
        <v>300</v>
      </c>
      <c r="L101" s="57">
        <v>12.409000000000001</v>
      </c>
      <c r="M101" s="57">
        <v>12.41</v>
      </c>
      <c r="N101" s="57" t="s">
        <v>48</v>
      </c>
      <c r="O101" s="58">
        <v>2</v>
      </c>
      <c r="P101" s="58">
        <f t="shared" si="40"/>
        <v>2</v>
      </c>
      <c r="Q101" s="59">
        <f t="shared" ref="Q101" si="45">IF(K101="",+H101/1000*J101,+H101/1000*J101/1000*K101)</f>
        <v>345.46908000000002</v>
      </c>
      <c r="R101" s="58">
        <f t="shared" ref="R101" si="46">+Q101*O101</f>
        <v>690.93816000000004</v>
      </c>
      <c r="S101" s="58">
        <f t="shared" ref="S101" si="47">+Q101*P101</f>
        <v>690.93816000000004</v>
      </c>
      <c r="T101" s="58"/>
      <c r="U101" s="58"/>
      <c r="V101" s="54" t="str">
        <f>IF(U100&gt;100,"EXTRAPESADO",IF(U100&lt;=100,IF(U100&gt;=60,"PESADO",IF(U100&lt;60,IF(U100&gt;=30,"MEDIANO","LIVIANO")))))</f>
        <v>LIVIANO</v>
      </c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I101" s="58" t="s">
        <v>48</v>
      </c>
      <c r="AJ101" s="52" t="str">
        <f>IF(A101=0,"NORMA", +VLOOKUP(A101,[3]!AREA2014A,15))</f>
        <v>A36</v>
      </c>
      <c r="AL101" s="54" t="str">
        <f t="shared" ref="AL101" si="48">AL100</f>
        <v>TVP3</v>
      </c>
      <c r="AM101" s="54" t="s">
        <v>49</v>
      </c>
    </row>
    <row r="102" spans="1:39" x14ac:dyDescent="0.2">
      <c r="A102" s="52">
        <v>689</v>
      </c>
      <c r="B102" s="53">
        <f>B99</f>
        <v>1</v>
      </c>
      <c r="C102" s="54" t="s">
        <v>48</v>
      </c>
      <c r="D102" s="52" t="s">
        <v>126</v>
      </c>
      <c r="E102" s="54" t="s">
        <v>46</v>
      </c>
      <c r="F102" s="54" t="str">
        <f>IF(A102=0,"SERIE",+VLOOKUP(A102,[3]!AREA2014A,3))</f>
        <v>PLE 15mm</v>
      </c>
      <c r="G102" s="54" t="s">
        <v>127</v>
      </c>
      <c r="H102" s="55">
        <f>IF(A102=0,"PESOU",+VLOOKUP(A102,[3]!AREA2014A,4))*$B$2</f>
        <v>117.75</v>
      </c>
      <c r="I102" s="56" t="str">
        <f>IF(A102=0,"CODIGO", +VLOOKUP(A102,[3]!AREA2014A,13))</f>
        <v>12.54.52.420.01</v>
      </c>
      <c r="J102" s="57">
        <v>450</v>
      </c>
      <c r="K102" s="57">
        <v>450</v>
      </c>
      <c r="L102" s="57">
        <v>0.432</v>
      </c>
      <c r="M102" s="57">
        <v>0.86</v>
      </c>
      <c r="N102" s="57" t="s">
        <v>48</v>
      </c>
      <c r="O102" s="58">
        <v>2</v>
      </c>
      <c r="P102" s="58">
        <f t="shared" si="40"/>
        <v>2</v>
      </c>
      <c r="Q102" s="59">
        <f t="shared" si="41"/>
        <v>23.844374999999999</v>
      </c>
      <c r="R102" s="58">
        <f t="shared" si="42"/>
        <v>47.688749999999999</v>
      </c>
      <c r="S102" s="58">
        <f t="shared" si="43"/>
        <v>47.688749999999999</v>
      </c>
      <c r="T102" s="58"/>
      <c r="U102" s="58"/>
      <c r="V102" s="54" t="str">
        <f>IF(U99&gt;100,"EXTRAPESADO",IF(U99&lt;=100,IF(U99&gt;=60,"PESADO",IF(U99&lt;60,IF(U99&gt;=30,"MEDIANO","LIVIANO")))))</f>
        <v>EXTRAPESADO</v>
      </c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I102" s="58" t="s">
        <v>48</v>
      </c>
      <c r="AJ102" s="52" t="str">
        <f>IF(A102=0,"NORMA", +VLOOKUP(A102,[3]!AREA2014A,15))</f>
        <v>A36</v>
      </c>
      <c r="AL102" s="54" t="str">
        <f>AL100</f>
        <v>TVP3</v>
      </c>
      <c r="AM102" s="54" t="s">
        <v>49</v>
      </c>
    </row>
    <row r="103" spans="1:39" x14ac:dyDescent="0.2">
      <c r="A103" s="52">
        <v>687</v>
      </c>
      <c r="B103" s="53">
        <f>B99</f>
        <v>1</v>
      </c>
      <c r="C103" s="54" t="s">
        <v>48</v>
      </c>
      <c r="D103" s="52" t="s">
        <v>128</v>
      </c>
      <c r="E103" s="54" t="s">
        <v>46</v>
      </c>
      <c r="F103" s="54" t="str">
        <f>IF(A103=0,"SERIE",+VLOOKUP(A103,[3]!AREA2014A,3))</f>
        <v>PLE 12mm</v>
      </c>
      <c r="G103" s="54" t="s">
        <v>129</v>
      </c>
      <c r="H103" s="55">
        <f>IF(A103=0,"PESOU",+VLOOKUP(A103,[3]!AREA2014A,4))*$B$2</f>
        <v>94.2</v>
      </c>
      <c r="I103" s="56" t="str">
        <f>IF(A103=0,"CODIGO", +VLOOKUP(A103,[3]!AREA2014A,13))</f>
        <v>12.54.52.390.00</v>
      </c>
      <c r="J103" s="57">
        <v>317</v>
      </c>
      <c r="K103" s="57">
        <v>219</v>
      </c>
      <c r="L103" s="57">
        <v>0.11899999999999999</v>
      </c>
      <c r="M103" s="57">
        <v>1.43</v>
      </c>
      <c r="N103" s="57" t="s">
        <v>48</v>
      </c>
      <c r="O103" s="58">
        <v>12</v>
      </c>
      <c r="P103" s="58">
        <f t="shared" si="40"/>
        <v>12</v>
      </c>
      <c r="Q103" s="59">
        <f t="shared" si="41"/>
        <v>6.5396466000000011</v>
      </c>
      <c r="R103" s="58">
        <f t="shared" si="42"/>
        <v>78.475759200000013</v>
      </c>
      <c r="S103" s="58">
        <f t="shared" si="43"/>
        <v>78.475759200000013</v>
      </c>
      <c r="T103" s="58"/>
      <c r="U103" s="58"/>
      <c r="V103" s="54" t="str">
        <f>IF(U99&gt;100,"EXTRAPESADO",IF(U99&lt;=100,IF(U99&gt;=60,"PESADO",IF(U99&lt;60,IF(U99&gt;=30,"MEDIANO","LIVIANO")))))</f>
        <v>EXTRAPESADO</v>
      </c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I103" s="58" t="s">
        <v>48</v>
      </c>
      <c r="AJ103" s="52" t="str">
        <f>IF(A103=0,"NORMA", +VLOOKUP(A103,[3]!AREA2014A,15))</f>
        <v>A36</v>
      </c>
      <c r="AL103" s="54" t="str">
        <f t="shared" si="44"/>
        <v>TVP3</v>
      </c>
      <c r="AM103" s="54" t="s">
        <v>49</v>
      </c>
    </row>
    <row r="104" spans="1:39" x14ac:dyDescent="0.2">
      <c r="A104" s="52">
        <v>693</v>
      </c>
      <c r="B104" s="53">
        <f>B99</f>
        <v>1</v>
      </c>
      <c r="C104" s="54" t="s">
        <v>48</v>
      </c>
      <c r="D104" s="52" t="s">
        <v>119</v>
      </c>
      <c r="E104" s="54" t="s">
        <v>107</v>
      </c>
      <c r="F104" s="54" t="str">
        <f>IF(A104=0,"SERIE",+VLOOKUP(A104,[3]!AREA2014A,3))</f>
        <v>PLE 20mm</v>
      </c>
      <c r="G104" s="54" t="s">
        <v>108</v>
      </c>
      <c r="H104" s="55">
        <f>IF(A104=0,"PESOU",+VLOOKUP(A104,[3]!AREA2014A,4))*$B$2</f>
        <v>157</v>
      </c>
      <c r="I104" s="56" t="str">
        <f>IF(A104=0,"CODIGO", +VLOOKUP(A104,[3]!AREA2014A,13))</f>
        <v>12.54.52.470.03</v>
      </c>
      <c r="J104" s="57">
        <v>350</v>
      </c>
      <c r="K104" s="57">
        <v>300</v>
      </c>
      <c r="L104" s="57">
        <v>0.23599999999999999</v>
      </c>
      <c r="M104" s="57">
        <v>0.47</v>
      </c>
      <c r="N104" s="57" t="s">
        <v>48</v>
      </c>
      <c r="O104" s="58">
        <v>2</v>
      </c>
      <c r="P104" s="58">
        <f t="shared" si="40"/>
        <v>2</v>
      </c>
      <c r="Q104" s="59">
        <f t="shared" si="41"/>
        <v>16.485000000000003</v>
      </c>
      <c r="R104" s="58">
        <f t="shared" si="42"/>
        <v>32.970000000000006</v>
      </c>
      <c r="S104" s="58">
        <f t="shared" si="43"/>
        <v>32.970000000000006</v>
      </c>
      <c r="T104" s="58"/>
      <c r="U104" s="58"/>
      <c r="V104" s="54" t="str">
        <f>IF(U99&gt;100,"EXTRAPESADO",IF(U99&lt;=100,IF(U99&gt;=60,"PESADO",IF(U99&lt;60,IF(U99&gt;=30,"MEDIANO","LIVIANO")))))</f>
        <v>EXTRAPESADO</v>
      </c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I104" s="58" t="s">
        <v>48</v>
      </c>
      <c r="AJ104" s="52" t="str">
        <f>IF(A104=0,"NORMA", +VLOOKUP(A104,[3]!AREA2014A,15))</f>
        <v>A36</v>
      </c>
      <c r="AL104" s="54" t="str">
        <f t="shared" si="44"/>
        <v>TVP3</v>
      </c>
      <c r="AM104" s="54" t="s">
        <v>49</v>
      </c>
    </row>
    <row r="105" spans="1:39" x14ac:dyDescent="0.2">
      <c r="A105" s="52">
        <v>686</v>
      </c>
      <c r="B105" s="53">
        <f>B99</f>
        <v>1</v>
      </c>
      <c r="C105" s="54" t="s">
        <v>48</v>
      </c>
      <c r="D105" s="52" t="s">
        <v>130</v>
      </c>
      <c r="E105" s="54" t="s">
        <v>107</v>
      </c>
      <c r="F105" s="54" t="str">
        <f>IF(A105=0,"SERIE",+VLOOKUP(A105,[3]!AREA2014A,3))</f>
        <v>PLE 10mm</v>
      </c>
      <c r="G105" s="54" t="s">
        <v>131</v>
      </c>
      <c r="H105" s="55">
        <f>IF(A105=0,"PESOU",+VLOOKUP(A105,[3]!AREA2014A,4))*$B$2</f>
        <v>78.5</v>
      </c>
      <c r="I105" s="56" t="str">
        <f>IF(A105=0,"CODIGO", +VLOOKUP(A105,[3]!AREA2014A,13))</f>
        <v>12.54.52.370.07</v>
      </c>
      <c r="J105" s="57">
        <v>296</v>
      </c>
      <c r="K105" s="57">
        <v>190</v>
      </c>
      <c r="L105" s="57">
        <v>0.111</v>
      </c>
      <c r="M105" s="57">
        <v>0.11</v>
      </c>
      <c r="N105" s="57" t="s">
        <v>48</v>
      </c>
      <c r="O105" s="58">
        <v>1</v>
      </c>
      <c r="P105" s="58">
        <f t="shared" si="40"/>
        <v>1</v>
      </c>
      <c r="Q105" s="59">
        <f t="shared" si="41"/>
        <v>4.4148399999999999</v>
      </c>
      <c r="R105" s="58">
        <f t="shared" si="42"/>
        <v>4.4148399999999999</v>
      </c>
      <c r="S105" s="58">
        <f t="shared" si="43"/>
        <v>4.4148399999999999</v>
      </c>
      <c r="T105" s="58"/>
      <c r="U105" s="58"/>
      <c r="V105" s="54" t="str">
        <f>IF(U99&gt;100,"EXTRAPESADO",IF(U99&lt;=100,IF(U99&gt;=60,"PESADO",IF(U99&lt;60,IF(U99&gt;=30,"MEDIANO","LIVIANO")))))</f>
        <v>EXTRAPESADO</v>
      </c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I105" s="58" t="s">
        <v>48</v>
      </c>
      <c r="AJ105" s="52" t="str">
        <f>IF(A105=0,"NORMA", +VLOOKUP(A105,[3]!AREA2014A,15))</f>
        <v>A36</v>
      </c>
      <c r="AL105" s="54" t="str">
        <f t="shared" si="44"/>
        <v>TVP3</v>
      </c>
      <c r="AM105" s="54" t="s">
        <v>49</v>
      </c>
    </row>
    <row r="106" spans="1:39" x14ac:dyDescent="0.2">
      <c r="A106" s="52">
        <v>686</v>
      </c>
      <c r="B106" s="53">
        <f>B99</f>
        <v>1</v>
      </c>
      <c r="C106" s="54" t="s">
        <v>48</v>
      </c>
      <c r="D106" s="52" t="s">
        <v>132</v>
      </c>
      <c r="E106" s="54" t="s">
        <v>107</v>
      </c>
      <c r="F106" s="54" t="str">
        <f>IF(A106=0,"SERIE",+VLOOKUP(A106,[3]!AREA2014A,3))</f>
        <v>PLE 10mm</v>
      </c>
      <c r="G106" s="54" t="s">
        <v>133</v>
      </c>
      <c r="H106" s="55">
        <f>IF(A106=0,"PESOU",+VLOOKUP(A106,[3]!AREA2014A,4))*$B$2</f>
        <v>78.5</v>
      </c>
      <c r="I106" s="56" t="str">
        <f>IF(A106=0,"CODIGO", +VLOOKUP(A106,[3]!AREA2014A,13))</f>
        <v>12.54.52.370.07</v>
      </c>
      <c r="J106" s="57">
        <v>296</v>
      </c>
      <c r="K106" s="57">
        <v>143</v>
      </c>
      <c r="L106" s="57">
        <v>9.1999999999999998E-2</v>
      </c>
      <c r="M106" s="57">
        <v>0.09</v>
      </c>
      <c r="N106" s="57" t="s">
        <v>48</v>
      </c>
      <c r="O106" s="58">
        <v>1</v>
      </c>
      <c r="P106" s="58">
        <f t="shared" si="40"/>
        <v>1</v>
      </c>
      <c r="Q106" s="59">
        <f t="shared" si="41"/>
        <v>3.3227479999999998</v>
      </c>
      <c r="R106" s="58">
        <f t="shared" si="42"/>
        <v>3.3227479999999998</v>
      </c>
      <c r="S106" s="58">
        <f t="shared" si="43"/>
        <v>3.3227479999999998</v>
      </c>
      <c r="T106" s="58"/>
      <c r="U106" s="58"/>
      <c r="V106" s="54" t="str">
        <f>IF(U99&gt;100,"EXTRAPESADO",IF(U99&lt;=100,IF(U99&gt;=60,"PESADO",IF(U99&lt;60,IF(U99&gt;=30,"MEDIANO","LIVIANO")))))</f>
        <v>EXTRAPESADO</v>
      </c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I106" s="58" t="s">
        <v>48</v>
      </c>
      <c r="AJ106" s="52" t="str">
        <f>IF(A106=0,"NORMA", +VLOOKUP(A106,[3]!AREA2014A,15))</f>
        <v>A36</v>
      </c>
      <c r="AL106" s="54" t="str">
        <f t="shared" si="44"/>
        <v>TVP3</v>
      </c>
      <c r="AM106" s="54" t="s">
        <v>49</v>
      </c>
    </row>
    <row r="107" spans="1:39" x14ac:dyDescent="0.2">
      <c r="A107" s="52">
        <v>686</v>
      </c>
      <c r="B107" s="53">
        <f>B99</f>
        <v>1</v>
      </c>
      <c r="C107" s="54" t="s">
        <v>48</v>
      </c>
      <c r="D107" s="52" t="s">
        <v>134</v>
      </c>
      <c r="E107" s="54" t="s">
        <v>107</v>
      </c>
      <c r="F107" s="54" t="str">
        <f>IF(A107=0,"SERIE",+VLOOKUP(A107,[3]!AREA2014A,3))</f>
        <v>PLE 10mm</v>
      </c>
      <c r="G107" s="54" t="s">
        <v>131</v>
      </c>
      <c r="H107" s="55">
        <f>IF(A107=0,"PESOU",+VLOOKUP(A107,[3]!AREA2014A,4))*$B$2</f>
        <v>78.5</v>
      </c>
      <c r="I107" s="56" t="str">
        <f>IF(A107=0,"CODIGO", +VLOOKUP(A107,[3]!AREA2014A,13))</f>
        <v>12.54.52.370.07</v>
      </c>
      <c r="J107" s="57">
        <v>296</v>
      </c>
      <c r="K107" s="57">
        <v>190</v>
      </c>
      <c r="L107" s="57">
        <v>0.111</v>
      </c>
      <c r="M107" s="57">
        <v>0.11</v>
      </c>
      <c r="N107" s="57" t="s">
        <v>48</v>
      </c>
      <c r="O107" s="58">
        <v>1</v>
      </c>
      <c r="P107" s="58">
        <f t="shared" si="40"/>
        <v>1</v>
      </c>
      <c r="Q107" s="59">
        <f t="shared" si="41"/>
        <v>4.4148399999999999</v>
      </c>
      <c r="R107" s="58">
        <f t="shared" si="42"/>
        <v>4.4148399999999999</v>
      </c>
      <c r="S107" s="58">
        <f t="shared" si="43"/>
        <v>4.4148399999999999</v>
      </c>
      <c r="T107" s="58"/>
      <c r="U107" s="58"/>
      <c r="V107" s="54" t="str">
        <f>IF(U99&gt;100,"EXTRAPESADO",IF(U99&lt;=100,IF(U99&gt;=60,"PESADO",IF(U99&lt;60,IF(U99&gt;=30,"MEDIANO","LIVIANO")))))</f>
        <v>EXTRAPESADO</v>
      </c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I107" s="58" t="s">
        <v>48</v>
      </c>
      <c r="AJ107" s="52" t="str">
        <f>IF(A107=0,"NORMA", +VLOOKUP(A107,[3]!AREA2014A,15))</f>
        <v>A36</v>
      </c>
      <c r="AL107" s="54" t="str">
        <f t="shared" si="44"/>
        <v>TVP3</v>
      </c>
      <c r="AM107" s="54" t="s">
        <v>49</v>
      </c>
    </row>
    <row r="108" spans="1:39" x14ac:dyDescent="0.2">
      <c r="A108" s="52">
        <v>686</v>
      </c>
      <c r="B108" s="53">
        <f>B99</f>
        <v>1</v>
      </c>
      <c r="C108" s="54" t="s">
        <v>48</v>
      </c>
      <c r="D108" s="52" t="s">
        <v>135</v>
      </c>
      <c r="E108" s="54" t="s">
        <v>110</v>
      </c>
      <c r="F108" s="54" t="str">
        <f>IF(A108=0,"SERIE",+VLOOKUP(A108,[3]!AREA2014A,3))</f>
        <v>PLE 10mm</v>
      </c>
      <c r="G108" s="54" t="s">
        <v>55</v>
      </c>
      <c r="H108" s="55">
        <f>IF(A108=0,"PESOU",+VLOOKUP(A108,[3]!AREA2014A,4))*$B$2</f>
        <v>78.5</v>
      </c>
      <c r="I108" s="56" t="str">
        <f>IF(A108=0,"CODIGO", +VLOOKUP(A108,[3]!AREA2014A,13))</f>
        <v>12.54.52.370.07</v>
      </c>
      <c r="J108" s="57">
        <v>293</v>
      </c>
      <c r="K108" s="57">
        <v>144</v>
      </c>
      <c r="L108" s="57">
        <v>9.1999999999999998E-2</v>
      </c>
      <c r="M108" s="57">
        <v>0.18</v>
      </c>
      <c r="N108" s="57" t="s">
        <v>48</v>
      </c>
      <c r="O108" s="58">
        <v>2</v>
      </c>
      <c r="P108" s="58">
        <f t="shared" si="40"/>
        <v>2</v>
      </c>
      <c r="Q108" s="59">
        <f t="shared" si="41"/>
        <v>3.3120720000000001</v>
      </c>
      <c r="R108" s="58">
        <f t="shared" si="42"/>
        <v>6.6241440000000003</v>
      </c>
      <c r="S108" s="58">
        <f t="shared" si="43"/>
        <v>6.6241440000000003</v>
      </c>
      <c r="T108" s="58"/>
      <c r="U108" s="58"/>
      <c r="V108" s="54" t="str">
        <f>IF(U99&gt;100,"EXTRAPESADO",IF(U99&lt;=100,IF(U99&gt;=60,"PESADO",IF(U99&lt;60,IF(U99&gt;=30,"MEDIANO","LIVIANO")))))</f>
        <v>EXTRAPESADO</v>
      </c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I108" s="58" t="s">
        <v>48</v>
      </c>
      <c r="AJ108" s="52" t="str">
        <f>IF(A108=0,"NORMA", +VLOOKUP(A108,[3]!AREA2014A,15))</f>
        <v>A36</v>
      </c>
      <c r="AL108" s="54" t="str">
        <f t="shared" si="44"/>
        <v>TVP3</v>
      </c>
      <c r="AM108" s="54" t="s">
        <v>49</v>
      </c>
    </row>
    <row r="109" spans="1:39" x14ac:dyDescent="0.2">
      <c r="A109" s="52">
        <v>686</v>
      </c>
      <c r="B109" s="53">
        <f>B99</f>
        <v>1</v>
      </c>
      <c r="C109" s="54" t="s">
        <v>48</v>
      </c>
      <c r="D109" s="52" t="s">
        <v>136</v>
      </c>
      <c r="E109" s="54" t="s">
        <v>110</v>
      </c>
      <c r="F109" s="54" t="str">
        <f>IF(A109=0,"SERIE",+VLOOKUP(A109,[3]!AREA2014A,3))</f>
        <v>PLE 10mm</v>
      </c>
      <c r="G109" s="54" t="s">
        <v>55</v>
      </c>
      <c r="H109" s="55">
        <f>IF(A109=0,"PESOU",+VLOOKUP(A109,[3]!AREA2014A,4))*$B$2</f>
        <v>78.5</v>
      </c>
      <c r="I109" s="56" t="str">
        <f>IF(A109=0,"CODIGO", +VLOOKUP(A109,[3]!AREA2014A,13))</f>
        <v>12.54.52.370.07</v>
      </c>
      <c r="J109" s="57">
        <v>293</v>
      </c>
      <c r="K109" s="57">
        <v>144</v>
      </c>
      <c r="L109" s="57">
        <v>9.1999999999999998E-2</v>
      </c>
      <c r="M109" s="57">
        <v>0.37</v>
      </c>
      <c r="N109" s="57" t="s">
        <v>48</v>
      </c>
      <c r="O109" s="58">
        <v>4</v>
      </c>
      <c r="P109" s="58">
        <f t="shared" si="40"/>
        <v>4</v>
      </c>
      <c r="Q109" s="59">
        <f t="shared" si="41"/>
        <v>3.3120720000000001</v>
      </c>
      <c r="R109" s="58">
        <f t="shared" si="42"/>
        <v>13.248288000000001</v>
      </c>
      <c r="S109" s="58">
        <f t="shared" si="43"/>
        <v>13.248288000000001</v>
      </c>
      <c r="T109" s="58"/>
      <c r="U109" s="58"/>
      <c r="V109" s="54" t="str">
        <f>IF(U99&gt;100,"EXTRAPESADO",IF(U99&lt;=100,IF(U99&gt;=60,"PESADO",IF(U99&lt;60,IF(U99&gt;=30,"MEDIANO","LIVIANO")))))</f>
        <v>EXTRAPESADO</v>
      </c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I109" s="58" t="s">
        <v>48</v>
      </c>
      <c r="AJ109" s="52" t="str">
        <f>IF(A109=0,"NORMA", +VLOOKUP(A109,[3]!AREA2014A,15))</f>
        <v>A36</v>
      </c>
      <c r="AL109" s="54" t="str">
        <f t="shared" si="44"/>
        <v>TVP3</v>
      </c>
      <c r="AM109" s="54" t="s">
        <v>49</v>
      </c>
    </row>
    <row r="110" spans="1:39" x14ac:dyDescent="0.2">
      <c r="A110" s="52">
        <v>686</v>
      </c>
      <c r="B110" s="53">
        <f>B99</f>
        <v>1</v>
      </c>
      <c r="C110" s="54" t="s">
        <v>48</v>
      </c>
      <c r="D110" s="52" t="s">
        <v>137</v>
      </c>
      <c r="E110" s="54" t="s">
        <v>110</v>
      </c>
      <c r="F110" s="54" t="str">
        <f>IF(A110=0,"SERIE",+VLOOKUP(A110,[3]!AREA2014A,3))</f>
        <v>PLE 10mm</v>
      </c>
      <c r="G110" s="54" t="s">
        <v>55</v>
      </c>
      <c r="H110" s="55">
        <f>IF(A110=0,"PESOU",+VLOOKUP(A110,[3]!AREA2014A,4))*$B$2</f>
        <v>78.5</v>
      </c>
      <c r="I110" s="56" t="str">
        <f>IF(A110=0,"CODIGO", +VLOOKUP(A110,[3]!AREA2014A,13))</f>
        <v>12.54.52.370.07</v>
      </c>
      <c r="J110" s="57">
        <v>293</v>
      </c>
      <c r="K110" s="57">
        <v>144</v>
      </c>
      <c r="L110" s="57">
        <v>9.1999999999999998E-2</v>
      </c>
      <c r="M110" s="57">
        <v>0.09</v>
      </c>
      <c r="N110" s="57" t="s">
        <v>48</v>
      </c>
      <c r="O110" s="58">
        <v>1</v>
      </c>
      <c r="P110" s="58">
        <f t="shared" si="40"/>
        <v>1</v>
      </c>
      <c r="Q110" s="59">
        <f t="shared" si="41"/>
        <v>3.3120720000000001</v>
      </c>
      <c r="R110" s="58">
        <f t="shared" si="42"/>
        <v>3.3120720000000001</v>
      </c>
      <c r="S110" s="58">
        <f t="shared" si="43"/>
        <v>3.3120720000000001</v>
      </c>
      <c r="T110" s="58"/>
      <c r="U110" s="58"/>
      <c r="V110" s="54" t="str">
        <f>IF(U99&gt;100,"EXTRAPESADO",IF(U99&lt;=100,IF(U99&gt;=60,"PESADO",IF(U99&lt;60,IF(U99&gt;=30,"MEDIANO","LIVIANO")))))</f>
        <v>EXTRAPESADO</v>
      </c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I110" s="58" t="s">
        <v>48</v>
      </c>
      <c r="AJ110" s="52" t="str">
        <f>IF(A110=0,"NORMA", +VLOOKUP(A110,[3]!AREA2014A,15))</f>
        <v>A36</v>
      </c>
      <c r="AL110" s="54" t="str">
        <f t="shared" si="44"/>
        <v>TVP3</v>
      </c>
      <c r="AM110" s="54" t="s">
        <v>49</v>
      </c>
    </row>
    <row r="111" spans="1:39" x14ac:dyDescent="0.2">
      <c r="A111" s="60"/>
      <c r="B111" s="60">
        <v>1</v>
      </c>
      <c r="C111" s="61">
        <v>20</v>
      </c>
      <c r="D111" s="43" t="s">
        <v>138</v>
      </c>
      <c r="E111" s="43" t="s">
        <v>794</v>
      </c>
      <c r="F111" s="43" t="str">
        <f>F112</f>
        <v>PLE 12mm</v>
      </c>
      <c r="G111" s="61" t="str">
        <f>G112</f>
        <v>HEB300</v>
      </c>
      <c r="H111" s="62" t="s">
        <v>48</v>
      </c>
      <c r="I111" s="62"/>
      <c r="J111" s="63">
        <f>MAX(J112:J117)</f>
        <v>6668</v>
      </c>
      <c r="K111" s="63" t="s">
        <v>48</v>
      </c>
      <c r="L111" s="64" t="s">
        <v>48</v>
      </c>
      <c r="M111" s="64" t="s">
        <v>48</v>
      </c>
      <c r="N111" s="63">
        <v>14.7</v>
      </c>
      <c r="O111" s="63">
        <v>1</v>
      </c>
      <c r="P111" s="63">
        <f>O111*TOTALES!$A$1</f>
        <v>1</v>
      </c>
      <c r="Q111" s="64">
        <f>+R111</f>
        <v>961.13861399999985</v>
      </c>
      <c r="R111" s="64">
        <f>SUM(R112:R117)</f>
        <v>961.13861399999985</v>
      </c>
      <c r="S111" s="64" t="s">
        <v>48</v>
      </c>
      <c r="T111" s="64">
        <f>+R111*P111</f>
        <v>961.13861399999985</v>
      </c>
      <c r="U111" s="64">
        <f>R111/(J111/1000)</f>
        <v>144.14196370725853</v>
      </c>
      <c r="V111" s="43" t="str">
        <f>IF(U111&gt;100,"EXTRAPESADO",IF(U111&lt;=100,IF(U111&gt;=60,"PESADO",IF(U111&lt;60,IF(U111&gt;=30,"MEDIANO","LIVIANO")))))</f>
        <v>EXTRAPESADO</v>
      </c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5"/>
      <c r="AI111" s="64" t="s">
        <v>48</v>
      </c>
      <c r="AJ111" s="61" t="str">
        <f>AJ112</f>
        <v>A36</v>
      </c>
      <c r="AK111" s="51"/>
      <c r="AL111" s="43" t="str">
        <f>D111</f>
        <v>TVP4</v>
      </c>
      <c r="AM111" s="43" t="s">
        <v>49</v>
      </c>
    </row>
    <row r="112" spans="1:39" x14ac:dyDescent="0.2">
      <c r="A112" s="52">
        <v>687</v>
      </c>
      <c r="B112" s="53">
        <f>B111</f>
        <v>1</v>
      </c>
      <c r="C112" s="54" t="s">
        <v>48</v>
      </c>
      <c r="D112" s="52" t="s">
        <v>138</v>
      </c>
      <c r="E112" s="54" t="s">
        <v>347</v>
      </c>
      <c r="F112" s="54" t="str">
        <f>IF(A112=0,"SERIE",+VLOOKUP(A112,[3]!AREA2014A,3))</f>
        <v>PLE 12mm</v>
      </c>
      <c r="G112" s="204" t="s">
        <v>53</v>
      </c>
      <c r="H112" s="55">
        <f>IF(A112=0,"PESOU",+VLOOKUP(A112,[3]!AREA2014A,4))*$B$2</f>
        <v>94.2</v>
      </c>
      <c r="I112" s="56" t="str">
        <f>IF(A112=0,"CODIGO", +VLOOKUP(A112,[3]!AREA2014A,13))</f>
        <v>12.54.52.390.00</v>
      </c>
      <c r="J112" s="57">
        <v>6668</v>
      </c>
      <c r="K112" s="57">
        <f>300-40</f>
        <v>260</v>
      </c>
      <c r="L112" s="57">
        <v>11.884</v>
      </c>
      <c r="M112" s="57">
        <v>11.88</v>
      </c>
      <c r="N112" s="57" t="s">
        <v>48</v>
      </c>
      <c r="O112" s="58">
        <v>1</v>
      </c>
      <c r="P112" s="58">
        <f t="shared" ref="P112:P117" si="49">O112*$P$111</f>
        <v>1</v>
      </c>
      <c r="Q112" s="59">
        <f t="shared" ref="Q112:Q117" si="50">IF(K112="",+H112/1000*J112,+H112/1000*J112/1000*K112)</f>
        <v>163.312656</v>
      </c>
      <c r="R112" s="58">
        <f t="shared" ref="R112:R117" si="51">+Q112*O112</f>
        <v>163.312656</v>
      </c>
      <c r="S112" s="58">
        <f t="shared" ref="S112:S117" si="52">+Q112*P112</f>
        <v>163.312656</v>
      </c>
      <c r="T112" s="58"/>
      <c r="U112" s="58"/>
      <c r="V112" s="54" t="str">
        <f>IF(U111&gt;100,"EXTRAPESADO",IF(U111&lt;=100,IF(U111&gt;=60,"PESADO",IF(U111&lt;60,IF(U111&gt;=30,"MEDIANO","LIVIANO")))))</f>
        <v>EXTRAPESADO</v>
      </c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I112" s="58" t="s">
        <v>48</v>
      </c>
      <c r="AJ112" s="52" t="str">
        <f>IF(A112=0,"NORMA", +VLOOKUP(A112,[3]!AREA2014A,15))</f>
        <v>A36</v>
      </c>
      <c r="AL112" s="54" t="str">
        <f>AL111</f>
        <v>TVP4</v>
      </c>
      <c r="AM112" s="54" t="s">
        <v>49</v>
      </c>
    </row>
    <row r="113" spans="1:39" x14ac:dyDescent="0.2">
      <c r="A113" s="52">
        <v>693</v>
      </c>
      <c r="B113" s="53">
        <f>B112</f>
        <v>1</v>
      </c>
      <c r="C113" s="54" t="s">
        <v>48</v>
      </c>
      <c r="D113" s="52" t="s">
        <v>138</v>
      </c>
      <c r="E113" s="54" t="s">
        <v>791</v>
      </c>
      <c r="F113" s="54" t="str">
        <f>IF(A113=0,"SERIE",+VLOOKUP(A113,[3]!AREA2014A,3))</f>
        <v>PLE 20mm</v>
      </c>
      <c r="G113" s="204" t="s">
        <v>53</v>
      </c>
      <c r="H113" s="55">
        <f>IF(A113=0,"PESOU",+VLOOKUP(A113,[3]!AREA2014A,4))*$B$2</f>
        <v>157</v>
      </c>
      <c r="I113" s="56" t="str">
        <f>IF(A113=0,"CODIGO", +VLOOKUP(A113,[3]!AREA2014A,13))</f>
        <v>12.54.52.470.03</v>
      </c>
      <c r="J113" s="57">
        <v>6668</v>
      </c>
      <c r="K113" s="57">
        <v>300</v>
      </c>
      <c r="L113" s="57">
        <v>11.884</v>
      </c>
      <c r="M113" s="57">
        <v>11.88</v>
      </c>
      <c r="N113" s="57" t="s">
        <v>48</v>
      </c>
      <c r="O113" s="58">
        <v>2</v>
      </c>
      <c r="P113" s="58">
        <f t="shared" si="49"/>
        <v>2</v>
      </c>
      <c r="Q113" s="59">
        <f t="shared" si="50"/>
        <v>314.06279999999998</v>
      </c>
      <c r="R113" s="58">
        <f t="shared" si="51"/>
        <v>628.12559999999996</v>
      </c>
      <c r="S113" s="58">
        <f t="shared" si="52"/>
        <v>628.12559999999996</v>
      </c>
      <c r="T113" s="58"/>
      <c r="U113" s="58"/>
      <c r="V113" s="54" t="str">
        <f>IF(U112&gt;100,"EXTRAPESADO",IF(U112&lt;=100,IF(U112&gt;=60,"PESADO",IF(U112&lt;60,IF(U112&gt;=30,"MEDIANO","LIVIANO")))))</f>
        <v>LIVIANO</v>
      </c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I113" s="58" t="s">
        <v>48</v>
      </c>
      <c r="AJ113" s="52" t="str">
        <f>IF(A113=0,"NORMA", +VLOOKUP(A113,[3]!AREA2014A,15))</f>
        <v>A36</v>
      </c>
      <c r="AL113" s="54" t="str">
        <f>AL112</f>
        <v>TVP4</v>
      </c>
      <c r="AM113" s="54" t="s">
        <v>49</v>
      </c>
    </row>
    <row r="114" spans="1:39" x14ac:dyDescent="0.2">
      <c r="A114" s="52">
        <v>687</v>
      </c>
      <c r="B114" s="53">
        <f>B111</f>
        <v>1</v>
      </c>
      <c r="C114" s="54" t="s">
        <v>48</v>
      </c>
      <c r="D114" s="52" t="s">
        <v>139</v>
      </c>
      <c r="E114" s="54" t="s">
        <v>46</v>
      </c>
      <c r="F114" s="54" t="str">
        <f>IF(A114=0,"SERIE",+VLOOKUP(A114,[3]!AREA2014A,3))</f>
        <v>PLE 12mm</v>
      </c>
      <c r="G114" s="54" t="s">
        <v>129</v>
      </c>
      <c r="H114" s="55">
        <f>IF(A114=0,"PESOU",+VLOOKUP(A114,[3]!AREA2014A,4))*$B$2</f>
        <v>94.2</v>
      </c>
      <c r="I114" s="56" t="str">
        <f>IF(A114=0,"CODIGO", +VLOOKUP(A114,[3]!AREA2014A,13))</f>
        <v>12.54.52.390.00</v>
      </c>
      <c r="J114" s="57">
        <v>280</v>
      </c>
      <c r="K114" s="57">
        <v>219</v>
      </c>
      <c r="L114" s="57">
        <v>0.104</v>
      </c>
      <c r="M114" s="57">
        <v>1.25</v>
      </c>
      <c r="N114" s="57" t="s">
        <v>48</v>
      </c>
      <c r="O114" s="58">
        <v>12</v>
      </c>
      <c r="P114" s="58">
        <f t="shared" si="49"/>
        <v>12</v>
      </c>
      <c r="Q114" s="59">
        <f t="shared" si="50"/>
        <v>5.7763439999999999</v>
      </c>
      <c r="R114" s="58">
        <f t="shared" si="51"/>
        <v>69.316127999999992</v>
      </c>
      <c r="S114" s="58">
        <f t="shared" si="52"/>
        <v>69.316127999999992</v>
      </c>
      <c r="T114" s="58"/>
      <c r="U114" s="58"/>
      <c r="V114" s="54" t="str">
        <f>IF(U111&gt;100,"EXTRAPESADO",IF(U111&lt;=100,IF(U111&gt;=60,"PESADO",IF(U111&lt;60,IF(U111&gt;=30,"MEDIANO","LIVIANO")))))</f>
        <v>EXTRAPESADO</v>
      </c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I114" s="58" t="s">
        <v>48</v>
      </c>
      <c r="AJ114" s="52" t="str">
        <f>IF(A114=0,"NORMA", +VLOOKUP(A114,[3]!AREA2014A,15))</f>
        <v>A36</v>
      </c>
      <c r="AL114" s="54" t="str">
        <f>AL112</f>
        <v>TVP4</v>
      </c>
      <c r="AM114" s="54" t="s">
        <v>49</v>
      </c>
    </row>
    <row r="115" spans="1:39" x14ac:dyDescent="0.2">
      <c r="A115" s="52">
        <v>689</v>
      </c>
      <c r="B115" s="53">
        <f>B111</f>
        <v>1</v>
      </c>
      <c r="C115" s="54" t="s">
        <v>48</v>
      </c>
      <c r="D115" s="52" t="s">
        <v>126</v>
      </c>
      <c r="E115" s="54" t="s">
        <v>46</v>
      </c>
      <c r="F115" s="54" t="str">
        <f>IF(A115=0,"SERIE",+VLOOKUP(A115,[3]!AREA2014A,3))</f>
        <v>PLE 15mm</v>
      </c>
      <c r="G115" s="54" t="s">
        <v>127</v>
      </c>
      <c r="H115" s="55">
        <f>IF(A115=0,"PESOU",+VLOOKUP(A115,[3]!AREA2014A,4))*$B$2</f>
        <v>117.75</v>
      </c>
      <c r="I115" s="56" t="str">
        <f>IF(A115=0,"CODIGO", +VLOOKUP(A115,[3]!AREA2014A,13))</f>
        <v>12.54.52.420.01</v>
      </c>
      <c r="J115" s="57">
        <v>450</v>
      </c>
      <c r="K115" s="57">
        <v>450</v>
      </c>
      <c r="L115" s="57">
        <v>0.432</v>
      </c>
      <c r="M115" s="57">
        <v>0.86</v>
      </c>
      <c r="N115" s="57" t="s">
        <v>48</v>
      </c>
      <c r="O115" s="58">
        <v>2</v>
      </c>
      <c r="P115" s="58">
        <f t="shared" si="49"/>
        <v>2</v>
      </c>
      <c r="Q115" s="59">
        <f t="shared" si="50"/>
        <v>23.844374999999999</v>
      </c>
      <c r="R115" s="58">
        <f t="shared" si="51"/>
        <v>47.688749999999999</v>
      </c>
      <c r="S115" s="58">
        <f t="shared" si="52"/>
        <v>47.688749999999999</v>
      </c>
      <c r="T115" s="58"/>
      <c r="U115" s="58"/>
      <c r="V115" s="54" t="str">
        <f>IF(U111&gt;100,"EXTRAPESADO",IF(U111&lt;=100,IF(U111&gt;=60,"PESADO",IF(U111&lt;60,IF(U111&gt;=30,"MEDIANO","LIVIANO")))))</f>
        <v>EXTRAPESADO</v>
      </c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I115" s="58" t="s">
        <v>48</v>
      </c>
      <c r="AJ115" s="52" t="str">
        <f>IF(A115=0,"NORMA", +VLOOKUP(A115,[3]!AREA2014A,15))</f>
        <v>A36</v>
      </c>
      <c r="AL115" s="54" t="str">
        <f>AL114</f>
        <v>TVP4</v>
      </c>
      <c r="AM115" s="54" t="s">
        <v>49</v>
      </c>
    </row>
    <row r="116" spans="1:39" x14ac:dyDescent="0.2">
      <c r="A116" s="52">
        <v>693</v>
      </c>
      <c r="B116" s="53">
        <f>B111</f>
        <v>1</v>
      </c>
      <c r="C116" s="54" t="s">
        <v>48</v>
      </c>
      <c r="D116" s="52" t="s">
        <v>106</v>
      </c>
      <c r="E116" s="54" t="s">
        <v>107</v>
      </c>
      <c r="F116" s="54" t="str">
        <f>IF(A116=0,"SERIE",+VLOOKUP(A116,[3]!AREA2014A,3))</f>
        <v>PLE 20mm</v>
      </c>
      <c r="G116" s="54" t="s">
        <v>108</v>
      </c>
      <c r="H116" s="55">
        <f>IF(A116=0,"PESOU",+VLOOKUP(A116,[3]!AREA2014A,4))*$B$2</f>
        <v>157</v>
      </c>
      <c r="I116" s="56" t="str">
        <f>IF(A116=0,"CODIGO", +VLOOKUP(A116,[3]!AREA2014A,13))</f>
        <v>12.54.52.470.03</v>
      </c>
      <c r="J116" s="57">
        <v>310</v>
      </c>
      <c r="K116" s="57">
        <v>300</v>
      </c>
      <c r="L116" s="57">
        <v>0.21</v>
      </c>
      <c r="M116" s="57">
        <v>0.42</v>
      </c>
      <c r="N116" s="57" t="s">
        <v>48</v>
      </c>
      <c r="O116" s="58">
        <v>2</v>
      </c>
      <c r="P116" s="58">
        <f t="shared" si="49"/>
        <v>2</v>
      </c>
      <c r="Q116" s="59">
        <f t="shared" si="50"/>
        <v>14.601000000000001</v>
      </c>
      <c r="R116" s="58">
        <f t="shared" si="51"/>
        <v>29.202000000000002</v>
      </c>
      <c r="S116" s="58">
        <f t="shared" si="52"/>
        <v>29.202000000000002</v>
      </c>
      <c r="T116" s="58"/>
      <c r="U116" s="58"/>
      <c r="V116" s="54" t="str">
        <f>IF(U111&gt;100,"EXTRAPESADO",IF(U111&lt;=100,IF(U111&gt;=60,"PESADO",IF(U111&lt;60,IF(U111&gt;=30,"MEDIANO","LIVIANO")))))</f>
        <v>EXTRAPESADO</v>
      </c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I116" s="58" t="s">
        <v>48</v>
      </c>
      <c r="AJ116" s="52" t="str">
        <f>IF(A116=0,"NORMA", +VLOOKUP(A116,[3]!AREA2014A,15))</f>
        <v>A36</v>
      </c>
      <c r="AL116" s="54" t="str">
        <f>AL115</f>
        <v>TVP4</v>
      </c>
      <c r="AM116" s="54" t="s">
        <v>49</v>
      </c>
    </row>
    <row r="117" spans="1:39" x14ac:dyDescent="0.2">
      <c r="A117" s="52">
        <v>686</v>
      </c>
      <c r="B117" s="53">
        <f>B111</f>
        <v>1</v>
      </c>
      <c r="C117" s="54" t="s">
        <v>48</v>
      </c>
      <c r="D117" s="52" t="s">
        <v>140</v>
      </c>
      <c r="E117" s="54" t="s">
        <v>110</v>
      </c>
      <c r="F117" s="54" t="str">
        <f>IF(A117=0,"SERIE",+VLOOKUP(A117,[3]!AREA2014A,3))</f>
        <v>PLE 10mm</v>
      </c>
      <c r="G117" s="54" t="s">
        <v>141</v>
      </c>
      <c r="H117" s="55">
        <f>IF(A117=0,"PESOU",+VLOOKUP(A117,[3]!AREA2014A,4))*$B$2</f>
        <v>78.5</v>
      </c>
      <c r="I117" s="56" t="str">
        <f>IF(A117=0,"CODIGO", +VLOOKUP(A117,[3]!AREA2014A,13))</f>
        <v>12.54.52.370.07</v>
      </c>
      <c r="J117" s="57">
        <v>258</v>
      </c>
      <c r="K117" s="57">
        <v>145</v>
      </c>
      <c r="L117" s="57">
        <v>8.1000000000000003E-2</v>
      </c>
      <c r="M117" s="57">
        <v>0.65</v>
      </c>
      <c r="N117" s="57" t="s">
        <v>48</v>
      </c>
      <c r="O117" s="58">
        <v>8</v>
      </c>
      <c r="P117" s="58">
        <f t="shared" si="49"/>
        <v>8</v>
      </c>
      <c r="Q117" s="59">
        <f t="shared" si="50"/>
        <v>2.9366850000000002</v>
      </c>
      <c r="R117" s="58">
        <f t="shared" si="51"/>
        <v>23.493480000000002</v>
      </c>
      <c r="S117" s="58">
        <f t="shared" si="52"/>
        <v>23.493480000000002</v>
      </c>
      <c r="T117" s="58"/>
      <c r="U117" s="58"/>
      <c r="V117" s="54" t="str">
        <f>IF(U111&gt;100,"EXTRAPESADO",IF(U111&lt;=100,IF(U111&gt;=60,"PESADO",IF(U111&lt;60,IF(U111&gt;=30,"MEDIANO","LIVIANO")))))</f>
        <v>EXTRAPESADO</v>
      </c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I117" s="58" t="s">
        <v>48</v>
      </c>
      <c r="AJ117" s="52" t="str">
        <f>IF(A117=0,"NORMA", +VLOOKUP(A117,[3]!AREA2014A,15))</f>
        <v>A36</v>
      </c>
      <c r="AL117" s="54" t="str">
        <f>AL116</f>
        <v>TVP4</v>
      </c>
      <c r="AM117" s="54" t="s">
        <v>49</v>
      </c>
    </row>
    <row r="118" spans="1:39" x14ac:dyDescent="0.2">
      <c r="A118" s="60"/>
      <c r="B118" s="60">
        <v>1</v>
      </c>
      <c r="C118" s="61">
        <v>21</v>
      </c>
      <c r="D118" s="43" t="s">
        <v>142</v>
      </c>
      <c r="E118" s="43" t="s">
        <v>796</v>
      </c>
      <c r="F118" s="43" t="str">
        <f>F119</f>
        <v>PLE 12mm</v>
      </c>
      <c r="G118" s="61" t="str">
        <f>G119</f>
        <v>HI300-12-20X250</v>
      </c>
      <c r="H118" s="62" t="s">
        <v>48</v>
      </c>
      <c r="I118" s="62"/>
      <c r="J118" s="63">
        <f>MAX(J119:J124)</f>
        <v>2988</v>
      </c>
      <c r="K118" s="63" t="s">
        <v>48</v>
      </c>
      <c r="L118" s="64" t="s">
        <v>48</v>
      </c>
      <c r="M118" s="64" t="s">
        <v>48</v>
      </c>
      <c r="N118" s="63">
        <v>6.2</v>
      </c>
      <c r="O118" s="63">
        <v>1</v>
      </c>
      <c r="P118" s="63">
        <f>O118*TOTALES!$A$1</f>
        <v>1</v>
      </c>
      <c r="Q118" s="64">
        <f>+R118</f>
        <v>386.1479056</v>
      </c>
      <c r="R118" s="64">
        <f>SUM(R119:R124)</f>
        <v>386.1479056</v>
      </c>
      <c r="S118" s="64" t="s">
        <v>48</v>
      </c>
      <c r="T118" s="64">
        <f>+R118*P118</f>
        <v>386.1479056</v>
      </c>
      <c r="U118" s="64">
        <f>R118/(J118/1000)</f>
        <v>129.23290013386881</v>
      </c>
      <c r="V118" s="43" t="str">
        <f>IF(U118&gt;100,"EXTRAPESADO",IF(U118&lt;=100,IF(U118&gt;=60,"PESADO",IF(U118&lt;60,IF(U118&gt;=30,"MEDIANO","LIVIANO")))))</f>
        <v>EXTRAPESADO</v>
      </c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5"/>
      <c r="AI118" s="64" t="s">
        <v>48</v>
      </c>
      <c r="AJ118" s="61" t="str">
        <f>AJ119</f>
        <v>A36</v>
      </c>
      <c r="AK118" s="51"/>
      <c r="AL118" s="43" t="str">
        <f>D118</f>
        <v>TVP5</v>
      </c>
      <c r="AM118" s="43" t="s">
        <v>49</v>
      </c>
    </row>
    <row r="119" spans="1:39" x14ac:dyDescent="0.2">
      <c r="A119" s="52">
        <v>687</v>
      </c>
      <c r="B119" s="53">
        <f>B118</f>
        <v>1</v>
      </c>
      <c r="C119" s="54" t="s">
        <v>48</v>
      </c>
      <c r="D119" s="52" t="s">
        <v>142</v>
      </c>
      <c r="E119" s="54" t="s">
        <v>347</v>
      </c>
      <c r="F119" s="54" t="str">
        <f>IF(A119=0,"SERIE",+VLOOKUP(A119,[3]!AREA2014A,3))</f>
        <v>PLE 12mm</v>
      </c>
      <c r="G119" s="204" t="s">
        <v>102</v>
      </c>
      <c r="H119" s="55">
        <f>IF(A119=0,"PESOU",+VLOOKUP(A119,[3]!AREA2014A,4))*$B$2</f>
        <v>94.2</v>
      </c>
      <c r="I119" s="56" t="str">
        <f>IF(A119=0,"CODIGO", +VLOOKUP(A119,[3]!AREA2014A,13))</f>
        <v>12.54.52.390.00</v>
      </c>
      <c r="J119" s="57">
        <v>2988</v>
      </c>
      <c r="K119" s="57">
        <f>300-40</f>
        <v>260</v>
      </c>
      <c r="L119" s="57">
        <v>4.7350000000000003</v>
      </c>
      <c r="M119" s="57">
        <v>4.74</v>
      </c>
      <c r="N119" s="57" t="s">
        <v>48</v>
      </c>
      <c r="O119" s="58">
        <v>1</v>
      </c>
      <c r="P119" s="58">
        <f t="shared" ref="P119:P124" si="53">O119*$P$118</f>
        <v>1</v>
      </c>
      <c r="Q119" s="59">
        <f t="shared" ref="Q119:Q124" si="54">IF(K119="",+H119/1000*J119,+H119/1000*J119/1000*K119)</f>
        <v>73.182096000000001</v>
      </c>
      <c r="R119" s="58">
        <f t="shared" ref="R119:R124" si="55">+Q119*O119</f>
        <v>73.182096000000001</v>
      </c>
      <c r="S119" s="58">
        <f t="shared" ref="S119:S124" si="56">+Q119*P119</f>
        <v>73.182096000000001</v>
      </c>
      <c r="T119" s="58"/>
      <c r="U119" s="58"/>
      <c r="V119" s="54" t="str">
        <f>IF(U118&gt;100,"EXTRAPESADO",IF(U118&lt;=100,IF(U118&gt;=60,"PESADO",IF(U118&lt;60,IF(U118&gt;=30,"MEDIANO","LIVIANO")))))</f>
        <v>EXTRAPESADO</v>
      </c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I119" s="58" t="s">
        <v>48</v>
      </c>
      <c r="AJ119" s="52" t="str">
        <f>IF(A119=0,"NORMA", +VLOOKUP(A119,[3]!AREA2014A,15))</f>
        <v>A36</v>
      </c>
      <c r="AL119" s="54" t="str">
        <f>AL118</f>
        <v>TVP5</v>
      </c>
      <c r="AM119" s="54" t="s">
        <v>49</v>
      </c>
    </row>
    <row r="120" spans="1:39" x14ac:dyDescent="0.2">
      <c r="A120" s="52">
        <v>693</v>
      </c>
      <c r="B120" s="53">
        <f>B119</f>
        <v>1</v>
      </c>
      <c r="C120" s="54" t="s">
        <v>48</v>
      </c>
      <c r="D120" s="52" t="s">
        <v>142</v>
      </c>
      <c r="E120" s="54" t="s">
        <v>791</v>
      </c>
      <c r="F120" s="54" t="str">
        <f>IF(A120=0,"SERIE",+VLOOKUP(A120,[3]!AREA2014A,3))</f>
        <v>PLE 20mm</v>
      </c>
      <c r="G120" s="204" t="s">
        <v>102</v>
      </c>
      <c r="H120" s="55">
        <f>IF(A120=0,"PESOU",+VLOOKUP(A120,[3]!AREA2014A,4))*$B$2</f>
        <v>157</v>
      </c>
      <c r="I120" s="56" t="str">
        <f>IF(A120=0,"CODIGO", +VLOOKUP(A120,[3]!AREA2014A,13))</f>
        <v>12.54.52.470.03</v>
      </c>
      <c r="J120" s="57">
        <v>2988</v>
      </c>
      <c r="K120" s="57">
        <v>250</v>
      </c>
      <c r="L120" s="57">
        <v>4.7350000000000003</v>
      </c>
      <c r="M120" s="57">
        <v>4.74</v>
      </c>
      <c r="N120" s="57" t="s">
        <v>48</v>
      </c>
      <c r="O120" s="58">
        <v>2</v>
      </c>
      <c r="P120" s="58">
        <f t="shared" si="53"/>
        <v>2</v>
      </c>
      <c r="Q120" s="59">
        <f t="shared" si="54"/>
        <v>117.279</v>
      </c>
      <c r="R120" s="58">
        <f t="shared" si="55"/>
        <v>234.55799999999999</v>
      </c>
      <c r="S120" s="58">
        <f t="shared" si="56"/>
        <v>234.55799999999999</v>
      </c>
      <c r="T120" s="58"/>
      <c r="U120" s="58"/>
      <c r="V120" s="54" t="str">
        <f>IF(U119&gt;100,"EXTRAPESADO",IF(U119&lt;=100,IF(U119&gt;=60,"PESADO",IF(U119&lt;60,IF(U119&gt;=30,"MEDIANO","LIVIANO")))))</f>
        <v>LIVIANO</v>
      </c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I120" s="58" t="s">
        <v>48</v>
      </c>
      <c r="AJ120" s="52" t="str">
        <f>IF(A120=0,"NORMA", +VLOOKUP(A120,[3]!AREA2014A,15))</f>
        <v>A36</v>
      </c>
      <c r="AL120" s="54" t="str">
        <f>AL119</f>
        <v>TVP5</v>
      </c>
      <c r="AM120" s="54" t="s">
        <v>49</v>
      </c>
    </row>
    <row r="121" spans="1:39" x14ac:dyDescent="0.2">
      <c r="A121" s="52">
        <v>693</v>
      </c>
      <c r="B121" s="53">
        <f>B118</f>
        <v>1</v>
      </c>
      <c r="C121" s="54" t="s">
        <v>48</v>
      </c>
      <c r="D121" s="52" t="s">
        <v>105</v>
      </c>
      <c r="E121" s="54" t="s">
        <v>46</v>
      </c>
      <c r="F121" s="54" t="str">
        <f>IF(A121=0,"SERIE",+VLOOKUP(A121,[3]!AREA2014A,3))</f>
        <v>PLE 20mm</v>
      </c>
      <c r="G121" s="54" t="s">
        <v>61</v>
      </c>
      <c r="H121" s="55">
        <f>IF(A121=0,"PESOU",+VLOOKUP(A121,[3]!AREA2014A,4))*$B$2</f>
        <v>157</v>
      </c>
      <c r="I121" s="56" t="str">
        <f>IF(A121=0,"CODIGO", +VLOOKUP(A121,[3]!AREA2014A,13))</f>
        <v>12.54.52.470.03</v>
      </c>
      <c r="J121" s="57">
        <v>310</v>
      </c>
      <c r="K121" s="57">
        <v>250</v>
      </c>
      <c r="L121" s="57">
        <v>0.17699999999999999</v>
      </c>
      <c r="M121" s="57">
        <v>0.35</v>
      </c>
      <c r="N121" s="57" t="s">
        <v>48</v>
      </c>
      <c r="O121" s="58">
        <v>2</v>
      </c>
      <c r="P121" s="58">
        <f t="shared" si="53"/>
        <v>2</v>
      </c>
      <c r="Q121" s="59">
        <f t="shared" si="54"/>
        <v>12.1675</v>
      </c>
      <c r="R121" s="58">
        <f t="shared" si="55"/>
        <v>24.335000000000001</v>
      </c>
      <c r="S121" s="58">
        <f t="shared" si="56"/>
        <v>24.335000000000001</v>
      </c>
      <c r="T121" s="58"/>
      <c r="U121" s="58"/>
      <c r="V121" s="54" t="str">
        <f>IF(U118&gt;100,"EXTRAPESADO",IF(U118&lt;=100,IF(U118&gt;=60,"PESADO",IF(U118&lt;60,IF(U118&gt;=30,"MEDIANO","LIVIANO")))))</f>
        <v>EXTRAPESADO</v>
      </c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I121" s="58" t="s">
        <v>48</v>
      </c>
      <c r="AJ121" s="52" t="str">
        <f>IF(A121=0,"NORMA", +VLOOKUP(A121,[3]!AREA2014A,15))</f>
        <v>A36</v>
      </c>
      <c r="AL121" s="54" t="str">
        <f>AL119</f>
        <v>TVP5</v>
      </c>
      <c r="AM121" s="54" t="s">
        <v>49</v>
      </c>
    </row>
    <row r="122" spans="1:39" x14ac:dyDescent="0.2">
      <c r="A122" s="52">
        <v>693</v>
      </c>
      <c r="B122" s="53">
        <f>B118</f>
        <v>1</v>
      </c>
      <c r="C122" s="54" t="s">
        <v>48</v>
      </c>
      <c r="D122" s="52" t="s">
        <v>106</v>
      </c>
      <c r="E122" s="54" t="s">
        <v>107</v>
      </c>
      <c r="F122" s="54" t="str">
        <f>IF(A122=0,"SERIE",+VLOOKUP(A122,[3]!AREA2014A,3))</f>
        <v>PLE 20mm</v>
      </c>
      <c r="G122" s="54" t="s">
        <v>108</v>
      </c>
      <c r="H122" s="55">
        <f>IF(A122=0,"PESOU",+VLOOKUP(A122,[3]!AREA2014A,4))*$B$2</f>
        <v>157</v>
      </c>
      <c r="I122" s="56" t="str">
        <f>IF(A122=0,"CODIGO", +VLOOKUP(A122,[3]!AREA2014A,13))</f>
        <v>12.54.52.470.03</v>
      </c>
      <c r="J122" s="57">
        <v>310</v>
      </c>
      <c r="K122" s="57">
        <v>300</v>
      </c>
      <c r="L122" s="57">
        <v>0.21</v>
      </c>
      <c r="M122" s="57">
        <v>0.42</v>
      </c>
      <c r="N122" s="57" t="s">
        <v>48</v>
      </c>
      <c r="O122" s="58">
        <v>2</v>
      </c>
      <c r="P122" s="58">
        <f t="shared" si="53"/>
        <v>2</v>
      </c>
      <c r="Q122" s="59">
        <f t="shared" si="54"/>
        <v>14.601000000000001</v>
      </c>
      <c r="R122" s="58">
        <f t="shared" si="55"/>
        <v>29.202000000000002</v>
      </c>
      <c r="S122" s="58">
        <f t="shared" si="56"/>
        <v>29.202000000000002</v>
      </c>
      <c r="T122" s="58"/>
      <c r="U122" s="58"/>
      <c r="V122" s="54" t="str">
        <f>IF(U118&gt;100,"EXTRAPESADO",IF(U118&lt;=100,IF(U118&gt;=60,"PESADO",IF(U118&lt;60,IF(U118&gt;=30,"MEDIANO","LIVIANO")))))</f>
        <v>EXTRAPESADO</v>
      </c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I122" s="58" t="s">
        <v>48</v>
      </c>
      <c r="AJ122" s="52" t="str">
        <f>IF(A122=0,"NORMA", +VLOOKUP(A122,[3]!AREA2014A,15))</f>
        <v>A36</v>
      </c>
      <c r="AL122" s="54" t="str">
        <f>AL121</f>
        <v>TVP5</v>
      </c>
      <c r="AM122" s="54" t="s">
        <v>49</v>
      </c>
    </row>
    <row r="123" spans="1:39" x14ac:dyDescent="0.2">
      <c r="A123" s="52">
        <v>687</v>
      </c>
      <c r="B123" s="53">
        <f>B118</f>
        <v>1</v>
      </c>
      <c r="C123" s="54" t="s">
        <v>48</v>
      </c>
      <c r="D123" s="52" t="s">
        <v>109</v>
      </c>
      <c r="E123" s="54" t="s">
        <v>110</v>
      </c>
      <c r="F123" s="54" t="str">
        <f>IF(A123=0,"SERIE",+VLOOKUP(A123,[3]!AREA2014A,3))</f>
        <v>PLE 12mm</v>
      </c>
      <c r="G123" s="54" t="s">
        <v>111</v>
      </c>
      <c r="H123" s="55">
        <f>IF(A123=0,"PESOU",+VLOOKUP(A123,[3]!AREA2014A,4))*$B$2</f>
        <v>94.2</v>
      </c>
      <c r="I123" s="56" t="str">
        <f>IF(A123=0,"CODIGO", +VLOOKUP(A123,[3]!AREA2014A,13))</f>
        <v>12.54.52.390.00</v>
      </c>
      <c r="J123" s="57">
        <v>256</v>
      </c>
      <c r="K123" s="57">
        <v>119</v>
      </c>
      <c r="L123" s="57">
        <v>6.7000000000000004E-2</v>
      </c>
      <c r="M123" s="57">
        <v>0.13</v>
      </c>
      <c r="N123" s="57" t="s">
        <v>48</v>
      </c>
      <c r="O123" s="58">
        <v>2</v>
      </c>
      <c r="P123" s="58">
        <f t="shared" si="53"/>
        <v>2</v>
      </c>
      <c r="Q123" s="59">
        <f t="shared" si="54"/>
        <v>2.8697088000000002</v>
      </c>
      <c r="R123" s="58">
        <f t="shared" si="55"/>
        <v>5.7394176000000003</v>
      </c>
      <c r="S123" s="58">
        <f t="shared" si="56"/>
        <v>5.7394176000000003</v>
      </c>
      <c r="T123" s="58"/>
      <c r="U123" s="58"/>
      <c r="V123" s="54" t="str">
        <f>IF(U118&gt;100,"EXTRAPESADO",IF(U118&lt;=100,IF(U118&gt;=60,"PESADO",IF(U118&lt;60,IF(U118&gt;=30,"MEDIANO","LIVIANO")))))</f>
        <v>EXTRAPESADO</v>
      </c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I123" s="58" t="s">
        <v>48</v>
      </c>
      <c r="AJ123" s="52" t="str">
        <f>IF(A123=0,"NORMA", +VLOOKUP(A123,[3]!AREA2014A,15))</f>
        <v>A36</v>
      </c>
      <c r="AL123" s="54" t="str">
        <f>AL122</f>
        <v>TVP5</v>
      </c>
      <c r="AM123" s="54" t="s">
        <v>49</v>
      </c>
    </row>
    <row r="124" spans="1:39" x14ac:dyDescent="0.2">
      <c r="A124" s="52">
        <v>686</v>
      </c>
      <c r="B124" s="53">
        <f>B118</f>
        <v>1</v>
      </c>
      <c r="C124" s="54" t="s">
        <v>48</v>
      </c>
      <c r="D124" s="52" t="s">
        <v>113</v>
      </c>
      <c r="E124" s="54" t="s">
        <v>110</v>
      </c>
      <c r="F124" s="54" t="str">
        <f>IF(A124=0,"SERIE",+VLOOKUP(A124,[3]!AREA2014A,3))</f>
        <v>PLE 10mm</v>
      </c>
      <c r="G124" s="54" t="s">
        <v>114</v>
      </c>
      <c r="H124" s="55">
        <f>IF(A124=0,"PESOU",+VLOOKUP(A124,[3]!AREA2014A,4))*$B$2</f>
        <v>78.5</v>
      </c>
      <c r="I124" s="56" t="str">
        <f>IF(A124=0,"CODIGO", +VLOOKUP(A124,[3]!AREA2014A,13))</f>
        <v>12.54.52.370.07</v>
      </c>
      <c r="J124" s="57">
        <v>256</v>
      </c>
      <c r="K124" s="57">
        <v>119</v>
      </c>
      <c r="L124" s="57">
        <v>6.7000000000000004E-2</v>
      </c>
      <c r="M124" s="57">
        <v>0.54</v>
      </c>
      <c r="N124" s="57" t="s">
        <v>48</v>
      </c>
      <c r="O124" s="58">
        <v>8</v>
      </c>
      <c r="P124" s="58">
        <f t="shared" si="53"/>
        <v>8</v>
      </c>
      <c r="Q124" s="59">
        <f t="shared" si="54"/>
        <v>2.3914239999999998</v>
      </c>
      <c r="R124" s="58">
        <f t="shared" si="55"/>
        <v>19.131391999999998</v>
      </c>
      <c r="S124" s="58">
        <f t="shared" si="56"/>
        <v>19.131391999999998</v>
      </c>
      <c r="T124" s="58"/>
      <c r="U124" s="58"/>
      <c r="V124" s="54" t="str">
        <f>IF(U118&gt;100,"EXTRAPESADO",IF(U118&lt;=100,IF(U118&gt;=60,"PESADO",IF(U118&lt;60,IF(U118&gt;=30,"MEDIANO","LIVIANO")))))</f>
        <v>EXTRAPESADO</v>
      </c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I124" s="58" t="s">
        <v>48</v>
      </c>
      <c r="AJ124" s="52" t="str">
        <f>IF(A124=0,"NORMA", +VLOOKUP(A124,[3]!AREA2014A,15))</f>
        <v>A36</v>
      </c>
      <c r="AL124" s="54" t="str">
        <f>AL123</f>
        <v>TVP5</v>
      </c>
      <c r="AM124" s="54" t="s">
        <v>49</v>
      </c>
    </row>
    <row r="125" spans="1:39" x14ac:dyDescent="0.2">
      <c r="A125" s="60"/>
      <c r="B125" s="60">
        <v>1</v>
      </c>
      <c r="C125" s="61">
        <v>22</v>
      </c>
      <c r="D125" s="43" t="s">
        <v>143</v>
      </c>
      <c r="E125" s="43" t="s">
        <v>798</v>
      </c>
      <c r="F125" s="43" t="str">
        <f>F126</f>
        <v>PLE 12mm</v>
      </c>
      <c r="G125" s="61" t="str">
        <f>G126</f>
        <v>HI680-12-20X250</v>
      </c>
      <c r="H125" s="62" t="s">
        <v>48</v>
      </c>
      <c r="I125" s="62"/>
      <c r="J125" s="63">
        <f>MAX(J126:J134)</f>
        <v>2988</v>
      </c>
      <c r="K125" s="63" t="s">
        <v>48</v>
      </c>
      <c r="L125" s="64" t="s">
        <v>48</v>
      </c>
      <c r="M125" s="64" t="s">
        <v>48</v>
      </c>
      <c r="N125" s="63">
        <v>10.199999999999999</v>
      </c>
      <c r="O125" s="63">
        <v>1</v>
      </c>
      <c r="P125" s="63">
        <f>O125*TOTALES!$A$1</f>
        <v>1</v>
      </c>
      <c r="Q125" s="64">
        <f>+R125</f>
        <v>591.31035599999996</v>
      </c>
      <c r="R125" s="64">
        <f>SUM(R126:R134)</f>
        <v>591.31035599999996</v>
      </c>
      <c r="S125" s="64" t="s">
        <v>48</v>
      </c>
      <c r="T125" s="64">
        <f>+R125*P125</f>
        <v>591.31035599999996</v>
      </c>
      <c r="U125" s="64">
        <f>R125/(J125/1000)</f>
        <v>197.89503212851403</v>
      </c>
      <c r="V125" s="43" t="str">
        <f>IF(U125&gt;100,"EXTRAPESADO",IF(U125&lt;=100,IF(U125&gt;=60,"PESADO",IF(U125&lt;60,IF(U125&gt;=30,"MEDIANO","LIVIANO")))))</f>
        <v>EXTRAPESADO</v>
      </c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5"/>
      <c r="AI125" s="64" t="s">
        <v>48</v>
      </c>
      <c r="AJ125" s="61" t="str">
        <f>AJ126</f>
        <v>A36</v>
      </c>
      <c r="AK125" s="51"/>
      <c r="AL125" s="43" t="str">
        <f>D125</f>
        <v>TVP6</v>
      </c>
      <c r="AM125" s="43" t="s">
        <v>49</v>
      </c>
    </row>
    <row r="126" spans="1:39" x14ac:dyDescent="0.2">
      <c r="A126" s="52">
        <v>687</v>
      </c>
      <c r="B126" s="53">
        <f>B125</f>
        <v>1</v>
      </c>
      <c r="C126" s="54" t="s">
        <v>48</v>
      </c>
      <c r="D126" s="52" t="s">
        <v>143</v>
      </c>
      <c r="E126" s="54" t="s">
        <v>347</v>
      </c>
      <c r="F126" s="54" t="str">
        <f>IF(A126=0,"SERIE",+VLOOKUP(A126,[3]!AREA2014A,3))</f>
        <v>PLE 12mm</v>
      </c>
      <c r="G126" s="204" t="s">
        <v>144</v>
      </c>
      <c r="H126" s="55">
        <f>IF(A126=0,"PESOU",+VLOOKUP(A126,[3]!AREA2014A,4))*$B$2</f>
        <v>94.2</v>
      </c>
      <c r="I126" s="56" t="str">
        <f>IF(A126=0,"CODIGO", +VLOOKUP(A126,[3]!AREA2014A,13))</f>
        <v>12.54.52.390.00</v>
      </c>
      <c r="J126" s="57">
        <v>2988</v>
      </c>
      <c r="K126" s="57">
        <f>680-40</f>
        <v>640</v>
      </c>
      <c r="L126" s="57">
        <v>7.0149999999999997</v>
      </c>
      <c r="M126" s="57">
        <v>7.02</v>
      </c>
      <c r="N126" s="57" t="s">
        <v>48</v>
      </c>
      <c r="O126" s="58">
        <v>1</v>
      </c>
      <c r="P126" s="58">
        <f t="shared" ref="P126:P134" si="57">O126*$P$125</f>
        <v>1</v>
      </c>
      <c r="Q126" s="59">
        <f t="shared" ref="Q126:Q134" si="58">IF(K126="",+H126/1000*J126,+H126/1000*J126/1000*K126)</f>
        <v>180.14054399999998</v>
      </c>
      <c r="R126" s="58">
        <f t="shared" ref="R126:R134" si="59">+Q126*O126</f>
        <v>180.14054399999998</v>
      </c>
      <c r="S126" s="58">
        <f t="shared" ref="S126:S134" si="60">+Q126*P126</f>
        <v>180.14054399999998</v>
      </c>
      <c r="T126" s="58"/>
      <c r="U126" s="58"/>
      <c r="V126" s="54" t="str">
        <f>IF(U125&gt;100,"EXTRAPESADO",IF(U125&lt;=100,IF(U125&gt;=60,"PESADO",IF(U125&lt;60,IF(U125&gt;=30,"MEDIANO","LIVIANO")))))</f>
        <v>EXTRAPESADO</v>
      </c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I126" s="58" t="s">
        <v>48</v>
      </c>
      <c r="AJ126" s="52" t="str">
        <f>IF(A126=0,"NORMA", +VLOOKUP(A126,[3]!AREA2014A,15))</f>
        <v>A36</v>
      </c>
      <c r="AL126" s="54" t="str">
        <f t="shared" ref="AL126:AL134" si="61">AL125</f>
        <v>TVP6</v>
      </c>
      <c r="AM126" s="54" t="s">
        <v>49</v>
      </c>
    </row>
    <row r="127" spans="1:39" x14ac:dyDescent="0.2">
      <c r="A127" s="52">
        <v>693</v>
      </c>
      <c r="B127" s="53">
        <f>B126</f>
        <v>1</v>
      </c>
      <c r="C127" s="54" t="s">
        <v>48</v>
      </c>
      <c r="D127" s="52" t="s">
        <v>143</v>
      </c>
      <c r="E127" s="54" t="s">
        <v>791</v>
      </c>
      <c r="F127" s="54" t="str">
        <f>IF(A127=0,"SERIE",+VLOOKUP(A127,[3]!AREA2014A,3))</f>
        <v>PLE 20mm</v>
      </c>
      <c r="G127" s="204" t="s">
        <v>144</v>
      </c>
      <c r="H127" s="55">
        <f>IF(A127=0,"PESOU",+VLOOKUP(A127,[3]!AREA2014A,4))*$B$2</f>
        <v>157</v>
      </c>
      <c r="I127" s="56" t="str">
        <f>IF(A127=0,"CODIGO", +VLOOKUP(A127,[3]!AREA2014A,13))</f>
        <v>12.54.52.470.03</v>
      </c>
      <c r="J127" s="57">
        <v>2988</v>
      </c>
      <c r="K127" s="57">
        <v>250</v>
      </c>
      <c r="L127" s="57">
        <v>7.0149999999999997</v>
      </c>
      <c r="M127" s="57">
        <v>7.02</v>
      </c>
      <c r="N127" s="57" t="s">
        <v>48</v>
      </c>
      <c r="O127" s="58">
        <v>2</v>
      </c>
      <c r="P127" s="58">
        <f t="shared" si="57"/>
        <v>2</v>
      </c>
      <c r="Q127" s="59">
        <f t="shared" ref="Q127" si="62">IF(K127="",+H127/1000*J127,+H127/1000*J127/1000*K127)</f>
        <v>117.279</v>
      </c>
      <c r="R127" s="58">
        <f t="shared" ref="R127" si="63">+Q127*O127</f>
        <v>234.55799999999999</v>
      </c>
      <c r="S127" s="58">
        <f t="shared" ref="S127" si="64">+Q127*P127</f>
        <v>234.55799999999999</v>
      </c>
      <c r="T127" s="58"/>
      <c r="U127" s="58"/>
      <c r="V127" s="54" t="str">
        <f>IF(U126&gt;100,"EXTRAPESADO",IF(U126&lt;=100,IF(U126&gt;=60,"PESADO",IF(U126&lt;60,IF(U126&gt;=30,"MEDIANO","LIVIANO")))))</f>
        <v>LIVIANO</v>
      </c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I127" s="58" t="s">
        <v>48</v>
      </c>
      <c r="AJ127" s="52" t="str">
        <f>IF(A127=0,"NORMA", +VLOOKUP(A127,[3]!AREA2014A,15))</f>
        <v>A36</v>
      </c>
      <c r="AL127" s="54" t="str">
        <f t="shared" ref="AL127" si="65">AL126</f>
        <v>TVP6</v>
      </c>
      <c r="AM127" s="54" t="s">
        <v>49</v>
      </c>
    </row>
    <row r="128" spans="1:39" x14ac:dyDescent="0.2">
      <c r="A128" s="52">
        <v>687</v>
      </c>
      <c r="B128" s="53">
        <f>B125</f>
        <v>1</v>
      </c>
      <c r="C128" s="54" t="s">
        <v>48</v>
      </c>
      <c r="D128" s="52" t="s">
        <v>145</v>
      </c>
      <c r="E128" s="54" t="s">
        <v>46</v>
      </c>
      <c r="F128" s="54" t="str">
        <f>IF(A128=0,"SERIE",+VLOOKUP(A128,[3]!AREA2014A,3))</f>
        <v>PLE 12mm</v>
      </c>
      <c r="G128" s="54" t="s">
        <v>146</v>
      </c>
      <c r="H128" s="55">
        <f>IF(A128=0,"PESOU",+VLOOKUP(A128,[3]!AREA2014A,4))*$B$2</f>
        <v>94.2</v>
      </c>
      <c r="I128" s="56" t="str">
        <f>IF(A128=0,"CODIGO", +VLOOKUP(A128,[3]!AREA2014A,13))</f>
        <v>12.54.52.390.00</v>
      </c>
      <c r="J128" s="57">
        <v>300</v>
      </c>
      <c r="K128" s="57">
        <v>117</v>
      </c>
      <c r="L128" s="57">
        <v>0.08</v>
      </c>
      <c r="M128" s="57">
        <v>0.24</v>
      </c>
      <c r="N128" s="57" t="s">
        <v>48</v>
      </c>
      <c r="O128" s="58">
        <v>3</v>
      </c>
      <c r="P128" s="58">
        <f t="shared" si="57"/>
        <v>3</v>
      </c>
      <c r="Q128" s="59">
        <f t="shared" si="58"/>
        <v>3.3064200000000001</v>
      </c>
      <c r="R128" s="58">
        <f t="shared" si="59"/>
        <v>9.9192600000000013</v>
      </c>
      <c r="S128" s="58">
        <f t="shared" si="60"/>
        <v>9.9192600000000013</v>
      </c>
      <c r="T128" s="58"/>
      <c r="U128" s="58"/>
      <c r="V128" s="54" t="str">
        <f>IF(U125&gt;100,"EXTRAPESADO",IF(U125&lt;=100,IF(U125&gt;=60,"PESADO",IF(U125&lt;60,IF(U125&gt;=30,"MEDIANO","LIVIANO")))))</f>
        <v>EXTRAPESADO</v>
      </c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I128" s="58" t="s">
        <v>48</v>
      </c>
      <c r="AJ128" s="52" t="str">
        <f>IF(A128=0,"NORMA", +VLOOKUP(A128,[3]!AREA2014A,15))</f>
        <v>A36</v>
      </c>
      <c r="AL128" s="54" t="str">
        <f>AL126</f>
        <v>TVP6</v>
      </c>
      <c r="AM128" s="54" t="s">
        <v>49</v>
      </c>
    </row>
    <row r="129" spans="1:39" x14ac:dyDescent="0.2">
      <c r="A129" s="52">
        <v>693</v>
      </c>
      <c r="B129" s="53">
        <f>B125</f>
        <v>1</v>
      </c>
      <c r="C129" s="54" t="s">
        <v>48</v>
      </c>
      <c r="D129" s="52" t="s">
        <v>147</v>
      </c>
      <c r="E129" s="54" t="s">
        <v>46</v>
      </c>
      <c r="F129" s="54" t="str">
        <f>IF(A129=0,"SERIE",+VLOOKUP(A129,[3]!AREA2014A,3))</f>
        <v>PLE 20mm</v>
      </c>
      <c r="G129" s="54" t="s">
        <v>61</v>
      </c>
      <c r="H129" s="55">
        <f>IF(A129=0,"PESOU",+VLOOKUP(A129,[3]!AREA2014A,4))*$B$2</f>
        <v>157</v>
      </c>
      <c r="I129" s="56" t="str">
        <f>IF(A129=0,"CODIGO", +VLOOKUP(A129,[3]!AREA2014A,13))</f>
        <v>12.54.52.470.03</v>
      </c>
      <c r="J129" s="57">
        <v>690</v>
      </c>
      <c r="K129" s="57">
        <v>250</v>
      </c>
      <c r="L129" s="57">
        <v>0.38300000000000001</v>
      </c>
      <c r="M129" s="57">
        <v>0.77</v>
      </c>
      <c r="N129" s="57" t="s">
        <v>48</v>
      </c>
      <c r="O129" s="58">
        <v>2</v>
      </c>
      <c r="P129" s="58">
        <f t="shared" si="57"/>
        <v>2</v>
      </c>
      <c r="Q129" s="59">
        <f t="shared" si="58"/>
        <v>27.0825</v>
      </c>
      <c r="R129" s="58">
        <f t="shared" si="59"/>
        <v>54.164999999999999</v>
      </c>
      <c r="S129" s="58">
        <f t="shared" si="60"/>
        <v>54.164999999999999</v>
      </c>
      <c r="T129" s="58"/>
      <c r="U129" s="58"/>
      <c r="V129" s="54" t="str">
        <f>IF(U125&gt;100,"EXTRAPESADO",IF(U125&lt;=100,IF(U125&gt;=60,"PESADO",IF(U125&lt;60,IF(U125&gt;=30,"MEDIANO","LIVIANO")))))</f>
        <v>EXTRAPESADO</v>
      </c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I129" s="58" t="s">
        <v>48</v>
      </c>
      <c r="AJ129" s="52" t="str">
        <f>IF(A129=0,"NORMA", +VLOOKUP(A129,[3]!AREA2014A,15))</f>
        <v>A36</v>
      </c>
      <c r="AL129" s="54" t="str">
        <f t="shared" si="61"/>
        <v>TVP6</v>
      </c>
      <c r="AM129" s="54" t="s">
        <v>49</v>
      </c>
    </row>
    <row r="130" spans="1:39" x14ac:dyDescent="0.2">
      <c r="A130" s="52">
        <v>693</v>
      </c>
      <c r="B130" s="53">
        <f>B125</f>
        <v>1</v>
      </c>
      <c r="C130" s="54" t="s">
        <v>48</v>
      </c>
      <c r="D130" s="52" t="s">
        <v>148</v>
      </c>
      <c r="E130" s="54" t="s">
        <v>107</v>
      </c>
      <c r="F130" s="54" t="str">
        <f>IF(A130=0,"SERIE",+VLOOKUP(A130,[3]!AREA2014A,3))</f>
        <v>PLE 20mm</v>
      </c>
      <c r="G130" s="54" t="s">
        <v>108</v>
      </c>
      <c r="H130" s="55">
        <f>IF(A130=0,"PESOU",+VLOOKUP(A130,[3]!AREA2014A,4))*$B$2</f>
        <v>157</v>
      </c>
      <c r="I130" s="56" t="str">
        <f>IF(A130=0,"CODIGO", +VLOOKUP(A130,[3]!AREA2014A,13))</f>
        <v>12.54.52.470.03</v>
      </c>
      <c r="J130" s="57">
        <v>690</v>
      </c>
      <c r="K130" s="57">
        <v>300</v>
      </c>
      <c r="L130" s="57">
        <v>0.45400000000000001</v>
      </c>
      <c r="M130" s="57">
        <v>0.45</v>
      </c>
      <c r="N130" s="57" t="s">
        <v>48</v>
      </c>
      <c r="O130" s="58">
        <v>1</v>
      </c>
      <c r="P130" s="58">
        <f t="shared" si="57"/>
        <v>1</v>
      </c>
      <c r="Q130" s="59">
        <f t="shared" si="58"/>
        <v>32.498999999999995</v>
      </c>
      <c r="R130" s="58">
        <f t="shared" si="59"/>
        <v>32.498999999999995</v>
      </c>
      <c r="S130" s="58">
        <f t="shared" si="60"/>
        <v>32.498999999999995</v>
      </c>
      <c r="T130" s="58"/>
      <c r="U130" s="58"/>
      <c r="V130" s="54" t="str">
        <f>IF(U125&gt;100,"EXTRAPESADO",IF(U125&lt;=100,IF(U125&gt;=60,"PESADO",IF(U125&lt;60,IF(U125&gt;=30,"MEDIANO","LIVIANO")))))</f>
        <v>EXTRAPESADO</v>
      </c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I130" s="58" t="s">
        <v>48</v>
      </c>
      <c r="AJ130" s="52" t="str">
        <f>IF(A130=0,"NORMA", +VLOOKUP(A130,[3]!AREA2014A,15))</f>
        <v>A36</v>
      </c>
      <c r="AL130" s="54" t="str">
        <f t="shared" si="61"/>
        <v>TVP6</v>
      </c>
      <c r="AM130" s="54" t="s">
        <v>49</v>
      </c>
    </row>
    <row r="131" spans="1:39" x14ac:dyDescent="0.2">
      <c r="A131" s="52">
        <v>693</v>
      </c>
      <c r="B131" s="53">
        <f>B125</f>
        <v>1</v>
      </c>
      <c r="C131" s="54" t="s">
        <v>48</v>
      </c>
      <c r="D131" s="52" t="s">
        <v>149</v>
      </c>
      <c r="E131" s="54" t="s">
        <v>107</v>
      </c>
      <c r="F131" s="54" t="str">
        <f>IF(A131=0,"SERIE",+VLOOKUP(A131,[3]!AREA2014A,3))</f>
        <v>PLE 20mm</v>
      </c>
      <c r="G131" s="54" t="s">
        <v>108</v>
      </c>
      <c r="H131" s="55">
        <f>IF(A131=0,"PESOU",+VLOOKUP(A131,[3]!AREA2014A,4))*$B$2</f>
        <v>157</v>
      </c>
      <c r="I131" s="56" t="str">
        <f>IF(A131=0,"CODIGO", +VLOOKUP(A131,[3]!AREA2014A,13))</f>
        <v>12.54.52.470.03</v>
      </c>
      <c r="J131" s="57">
        <v>690</v>
      </c>
      <c r="K131" s="57">
        <v>300</v>
      </c>
      <c r="L131" s="57">
        <v>0.45400000000000001</v>
      </c>
      <c r="M131" s="57">
        <v>0.45</v>
      </c>
      <c r="N131" s="57" t="s">
        <v>48</v>
      </c>
      <c r="O131" s="58">
        <v>1</v>
      </c>
      <c r="P131" s="58">
        <f t="shared" si="57"/>
        <v>1</v>
      </c>
      <c r="Q131" s="59">
        <f t="shared" si="58"/>
        <v>32.498999999999995</v>
      </c>
      <c r="R131" s="58">
        <f t="shared" si="59"/>
        <v>32.498999999999995</v>
      </c>
      <c r="S131" s="58">
        <f t="shared" si="60"/>
        <v>32.498999999999995</v>
      </c>
      <c r="T131" s="58"/>
      <c r="U131" s="58"/>
      <c r="V131" s="54" t="str">
        <f>IF(U125&gt;100,"EXTRAPESADO",IF(U125&lt;=100,IF(U125&gt;=60,"PESADO",IF(U125&lt;60,IF(U125&gt;=30,"MEDIANO","LIVIANO")))))</f>
        <v>EXTRAPESADO</v>
      </c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I131" s="58" t="s">
        <v>48</v>
      </c>
      <c r="AJ131" s="52" t="str">
        <f>IF(A131=0,"NORMA", +VLOOKUP(A131,[3]!AREA2014A,15))</f>
        <v>A36</v>
      </c>
      <c r="AL131" s="54" t="str">
        <f t="shared" si="61"/>
        <v>TVP6</v>
      </c>
      <c r="AM131" s="54" t="s">
        <v>49</v>
      </c>
    </row>
    <row r="132" spans="1:39" x14ac:dyDescent="0.2">
      <c r="A132" s="52">
        <v>686</v>
      </c>
      <c r="B132" s="53">
        <f>B125</f>
        <v>1</v>
      </c>
      <c r="C132" s="54" t="s">
        <v>48</v>
      </c>
      <c r="D132" s="52" t="s">
        <v>150</v>
      </c>
      <c r="E132" s="54" t="s">
        <v>110</v>
      </c>
      <c r="F132" s="54" t="str">
        <f>IF(A132=0,"SERIE",+VLOOKUP(A132,[3]!AREA2014A,3))</f>
        <v>PLE 10mm</v>
      </c>
      <c r="G132" s="54" t="s">
        <v>114</v>
      </c>
      <c r="H132" s="55">
        <f>IF(A132=0,"PESOU",+VLOOKUP(A132,[3]!AREA2014A,4))*$B$2</f>
        <v>78.5</v>
      </c>
      <c r="I132" s="56" t="str">
        <f>IF(A132=0,"CODIGO", +VLOOKUP(A132,[3]!AREA2014A,13))</f>
        <v>12.54.52.370.07</v>
      </c>
      <c r="J132" s="57">
        <v>636</v>
      </c>
      <c r="K132" s="57">
        <v>119</v>
      </c>
      <c r="L132" s="57">
        <v>0.16500000000000001</v>
      </c>
      <c r="M132" s="57">
        <v>0.99</v>
      </c>
      <c r="N132" s="57" t="s">
        <v>48</v>
      </c>
      <c r="O132" s="58">
        <v>6</v>
      </c>
      <c r="P132" s="58">
        <f t="shared" si="57"/>
        <v>6</v>
      </c>
      <c r="Q132" s="59">
        <f t="shared" si="58"/>
        <v>5.9411940000000003</v>
      </c>
      <c r="R132" s="58">
        <f t="shared" si="59"/>
        <v>35.647164000000004</v>
      </c>
      <c r="S132" s="58">
        <f t="shared" si="60"/>
        <v>35.647164000000004</v>
      </c>
      <c r="T132" s="58"/>
      <c r="U132" s="58"/>
      <c r="V132" s="54" t="str">
        <f>IF(U125&gt;100,"EXTRAPESADO",IF(U125&lt;=100,IF(U125&gt;=60,"PESADO",IF(U125&lt;60,IF(U125&gt;=30,"MEDIANO","LIVIANO")))))</f>
        <v>EXTRAPESADO</v>
      </c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I132" s="58" t="s">
        <v>48</v>
      </c>
      <c r="AJ132" s="52" t="str">
        <f>IF(A132=0,"NORMA", +VLOOKUP(A132,[3]!AREA2014A,15))</f>
        <v>A36</v>
      </c>
      <c r="AL132" s="54" t="str">
        <f t="shared" si="61"/>
        <v>TVP6</v>
      </c>
      <c r="AM132" s="54" t="s">
        <v>49</v>
      </c>
    </row>
    <row r="133" spans="1:39" x14ac:dyDescent="0.2">
      <c r="A133" s="52">
        <v>686</v>
      </c>
      <c r="B133" s="53">
        <f>B125</f>
        <v>1</v>
      </c>
      <c r="C133" s="54" t="s">
        <v>48</v>
      </c>
      <c r="D133" s="52" t="s">
        <v>151</v>
      </c>
      <c r="E133" s="54" t="s">
        <v>110</v>
      </c>
      <c r="F133" s="54" t="str">
        <f>IF(A133=0,"SERIE",+VLOOKUP(A133,[3]!AREA2014A,3))</f>
        <v>PLE 10mm</v>
      </c>
      <c r="G133" s="54" t="s">
        <v>114</v>
      </c>
      <c r="H133" s="55">
        <f>IF(A133=0,"PESOU",+VLOOKUP(A133,[3]!AREA2014A,4))*$B$2</f>
        <v>78.5</v>
      </c>
      <c r="I133" s="56" t="str">
        <f>IF(A133=0,"CODIGO", +VLOOKUP(A133,[3]!AREA2014A,13))</f>
        <v>12.54.52.370.07</v>
      </c>
      <c r="J133" s="57">
        <v>636</v>
      </c>
      <c r="K133" s="57">
        <v>119</v>
      </c>
      <c r="L133" s="57">
        <v>0.16500000000000001</v>
      </c>
      <c r="M133" s="57">
        <v>0.16</v>
      </c>
      <c r="N133" s="57" t="s">
        <v>48</v>
      </c>
      <c r="O133" s="58">
        <v>1</v>
      </c>
      <c r="P133" s="58">
        <f t="shared" si="57"/>
        <v>1</v>
      </c>
      <c r="Q133" s="59">
        <f t="shared" si="58"/>
        <v>5.9411940000000003</v>
      </c>
      <c r="R133" s="58">
        <f t="shared" si="59"/>
        <v>5.9411940000000003</v>
      </c>
      <c r="S133" s="58">
        <f t="shared" si="60"/>
        <v>5.9411940000000003</v>
      </c>
      <c r="T133" s="58"/>
      <c r="U133" s="58"/>
      <c r="V133" s="54" t="str">
        <f>IF(U125&gt;100,"EXTRAPESADO",IF(U125&lt;=100,IF(U125&gt;=60,"PESADO",IF(U125&lt;60,IF(U125&gt;=30,"MEDIANO","LIVIANO")))))</f>
        <v>EXTRAPESADO</v>
      </c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I133" s="58" t="s">
        <v>48</v>
      </c>
      <c r="AJ133" s="52" t="str">
        <f>IF(A133=0,"NORMA", +VLOOKUP(A133,[3]!AREA2014A,15))</f>
        <v>A36</v>
      </c>
      <c r="AL133" s="54" t="str">
        <f t="shared" si="61"/>
        <v>TVP6</v>
      </c>
      <c r="AM133" s="54" t="s">
        <v>49</v>
      </c>
    </row>
    <row r="134" spans="1:39" x14ac:dyDescent="0.2">
      <c r="A134" s="52">
        <v>686</v>
      </c>
      <c r="B134" s="53">
        <f>B125</f>
        <v>1</v>
      </c>
      <c r="C134" s="54" t="s">
        <v>48</v>
      </c>
      <c r="D134" s="52" t="s">
        <v>152</v>
      </c>
      <c r="E134" s="54" t="s">
        <v>110</v>
      </c>
      <c r="F134" s="54" t="str">
        <f>IF(A134=0,"SERIE",+VLOOKUP(A134,[3]!AREA2014A,3))</f>
        <v>PLE 10mm</v>
      </c>
      <c r="G134" s="54" t="s">
        <v>114</v>
      </c>
      <c r="H134" s="55">
        <f>IF(A134=0,"PESOU",+VLOOKUP(A134,[3]!AREA2014A,4))*$B$2</f>
        <v>78.5</v>
      </c>
      <c r="I134" s="56" t="str">
        <f>IF(A134=0,"CODIGO", +VLOOKUP(A134,[3]!AREA2014A,13))</f>
        <v>12.54.52.370.07</v>
      </c>
      <c r="J134" s="57">
        <v>636</v>
      </c>
      <c r="K134" s="57">
        <v>119</v>
      </c>
      <c r="L134" s="57">
        <v>0.16500000000000001</v>
      </c>
      <c r="M134" s="57">
        <v>0.16</v>
      </c>
      <c r="N134" s="57" t="s">
        <v>48</v>
      </c>
      <c r="O134" s="58">
        <v>1</v>
      </c>
      <c r="P134" s="58">
        <f t="shared" si="57"/>
        <v>1</v>
      </c>
      <c r="Q134" s="59">
        <f t="shared" si="58"/>
        <v>5.9411940000000003</v>
      </c>
      <c r="R134" s="58">
        <f t="shared" si="59"/>
        <v>5.9411940000000003</v>
      </c>
      <c r="S134" s="58">
        <f t="shared" si="60"/>
        <v>5.9411940000000003</v>
      </c>
      <c r="T134" s="58"/>
      <c r="U134" s="58"/>
      <c r="V134" s="54" t="str">
        <f>IF(U125&gt;100,"EXTRAPESADO",IF(U125&lt;=100,IF(U125&gt;=60,"PESADO",IF(U125&lt;60,IF(U125&gt;=30,"MEDIANO","LIVIANO")))))</f>
        <v>EXTRAPESADO</v>
      </c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I134" s="58" t="s">
        <v>48</v>
      </c>
      <c r="AJ134" s="52" t="str">
        <f>IF(A134=0,"NORMA", +VLOOKUP(A134,[3]!AREA2014A,15))</f>
        <v>A36</v>
      </c>
      <c r="AL134" s="54" t="str">
        <f t="shared" si="61"/>
        <v>TVP6</v>
      </c>
      <c r="AM134" s="54" t="s">
        <v>49</v>
      </c>
    </row>
    <row r="135" spans="1:39" x14ac:dyDescent="0.2">
      <c r="A135" s="60"/>
      <c r="B135" s="60">
        <v>1</v>
      </c>
      <c r="C135" s="61">
        <v>23</v>
      </c>
      <c r="D135" s="43" t="s">
        <v>153</v>
      </c>
      <c r="E135" s="43" t="s">
        <v>795</v>
      </c>
      <c r="F135" s="43" t="str">
        <f>F136</f>
        <v>PLE 12mm</v>
      </c>
      <c r="G135" s="61" t="str">
        <f>G136</f>
        <v>HEB340</v>
      </c>
      <c r="H135" s="62" t="s">
        <v>48</v>
      </c>
      <c r="I135" s="62"/>
      <c r="J135" s="63">
        <f>MAX(J136:J145)</f>
        <v>6668</v>
      </c>
      <c r="K135" s="63" t="s">
        <v>48</v>
      </c>
      <c r="L135" s="64" t="s">
        <v>48</v>
      </c>
      <c r="M135" s="64" t="s">
        <v>48</v>
      </c>
      <c r="N135" s="63">
        <v>15.8</v>
      </c>
      <c r="O135" s="63">
        <v>1</v>
      </c>
      <c r="P135" s="63">
        <f>O135*TOTALES!$A$1</f>
        <v>1</v>
      </c>
      <c r="Q135" s="64">
        <f>+R135</f>
        <v>1071.3347787999999</v>
      </c>
      <c r="R135" s="64">
        <f>SUM(R136:R145)</f>
        <v>1071.3347787999999</v>
      </c>
      <c r="S135" s="64" t="s">
        <v>48</v>
      </c>
      <c r="T135" s="64">
        <f>+R135*P135</f>
        <v>1071.3347787999999</v>
      </c>
      <c r="U135" s="64">
        <f>R135/(J135/1000)</f>
        <v>160.66808320335932</v>
      </c>
      <c r="V135" s="43" t="str">
        <f>IF(U135&gt;100,"EXTRAPESADO",IF(U135&lt;=100,IF(U135&gt;=60,"PESADO",IF(U135&lt;60,IF(U135&gt;=30,"MEDIANO","LIVIANO")))))</f>
        <v>EXTRAPESADO</v>
      </c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5"/>
      <c r="AI135" s="64" t="s">
        <v>48</v>
      </c>
      <c r="AJ135" s="61" t="str">
        <f>AJ136</f>
        <v>A36</v>
      </c>
      <c r="AK135" s="51"/>
      <c r="AL135" s="43" t="str">
        <f>D135</f>
        <v>TVP7</v>
      </c>
      <c r="AM135" s="43" t="s">
        <v>49</v>
      </c>
    </row>
    <row r="136" spans="1:39" x14ac:dyDescent="0.2">
      <c r="A136" s="52">
        <v>687</v>
      </c>
      <c r="B136" s="53">
        <f>B135</f>
        <v>1</v>
      </c>
      <c r="C136" s="54" t="s">
        <v>48</v>
      </c>
      <c r="D136" s="52" t="s">
        <v>153</v>
      </c>
      <c r="E136" s="54" t="s">
        <v>347</v>
      </c>
      <c r="F136" s="54" t="str">
        <f>IF(A136=0,"SERIE",+VLOOKUP(A136,[3]!AREA2014A,3))</f>
        <v>PLE 12mm</v>
      </c>
      <c r="G136" s="204" t="s">
        <v>125</v>
      </c>
      <c r="H136" s="55">
        <f>IF(A136=0,"PESOU",+VLOOKUP(A136,[3]!AREA2014A,4))*$B$2</f>
        <v>94.2</v>
      </c>
      <c r="I136" s="56" t="str">
        <f>IF(A136=0,"CODIGO", +VLOOKUP(A136,[3]!AREA2014A,13))</f>
        <v>12.54.52.390.00</v>
      </c>
      <c r="J136" s="57">
        <v>6668</v>
      </c>
      <c r="K136" s="57">
        <f>340-22-22</f>
        <v>296</v>
      </c>
      <c r="L136" s="57">
        <v>12.409000000000001</v>
      </c>
      <c r="M136" s="57">
        <v>12.41</v>
      </c>
      <c r="N136" s="57" t="s">
        <v>48</v>
      </c>
      <c r="O136" s="58">
        <v>1</v>
      </c>
      <c r="P136" s="58">
        <f t="shared" ref="P136:P145" si="66">O136*$P$135</f>
        <v>1</v>
      </c>
      <c r="Q136" s="59">
        <f t="shared" ref="Q136:Q145" si="67">IF(K136="",+H136/1000*J136,+H136/1000*J136/1000*K136)</f>
        <v>185.92517760000001</v>
      </c>
      <c r="R136" s="58">
        <f t="shared" ref="R136:R145" si="68">+Q136*O136</f>
        <v>185.92517760000001</v>
      </c>
      <c r="S136" s="58">
        <f t="shared" ref="S136:S145" si="69">+Q136*P136</f>
        <v>185.92517760000001</v>
      </c>
      <c r="T136" s="58"/>
      <c r="U136" s="58"/>
      <c r="V136" s="54" t="str">
        <f>IF(U135&gt;100,"EXTRAPESADO",IF(U135&lt;=100,IF(U135&gt;=60,"PESADO",IF(U135&lt;60,IF(U135&gt;=30,"MEDIANO","LIVIANO")))))</f>
        <v>EXTRAPESADO</v>
      </c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I136" s="58" t="s">
        <v>48</v>
      </c>
      <c r="AJ136" s="52" t="str">
        <f>IF(A136=0,"NORMA", +VLOOKUP(A136,[3]!AREA2014A,15))</f>
        <v>A36</v>
      </c>
      <c r="AL136" s="54" t="str">
        <f t="shared" ref="AL136:AL145" si="70">AL135</f>
        <v>TVP7</v>
      </c>
      <c r="AM136" s="54" t="s">
        <v>49</v>
      </c>
    </row>
    <row r="137" spans="1:39" x14ac:dyDescent="0.2">
      <c r="A137" s="52">
        <v>694</v>
      </c>
      <c r="B137" s="53">
        <f>B136</f>
        <v>1</v>
      </c>
      <c r="C137" s="54" t="s">
        <v>48</v>
      </c>
      <c r="D137" s="52" t="s">
        <v>153</v>
      </c>
      <c r="E137" s="54" t="s">
        <v>791</v>
      </c>
      <c r="F137" s="54" t="str">
        <f>IF(A137=0,"SERIE",+VLOOKUP(A137,[3]!AREA2014A,3))</f>
        <v>PLE 22mm</v>
      </c>
      <c r="G137" s="204" t="s">
        <v>125</v>
      </c>
      <c r="H137" s="55">
        <f>IF(A137=0,"PESOU",+VLOOKUP(A137,[3]!AREA2014A,4))*$B$2</f>
        <v>172.7</v>
      </c>
      <c r="I137" s="56" t="str">
        <f>IF(A137=0,"CODIGO", +VLOOKUP(A137,[3]!AREA2014A,13))</f>
        <v>12.54.52.490.00</v>
      </c>
      <c r="J137" s="57">
        <v>6668</v>
      </c>
      <c r="K137" s="57">
        <v>300</v>
      </c>
      <c r="L137" s="57">
        <v>12.409000000000001</v>
      </c>
      <c r="M137" s="57">
        <v>12.41</v>
      </c>
      <c r="N137" s="57" t="s">
        <v>48</v>
      </c>
      <c r="O137" s="58">
        <v>2</v>
      </c>
      <c r="P137" s="58">
        <f t="shared" si="66"/>
        <v>2</v>
      </c>
      <c r="Q137" s="59">
        <f t="shared" ref="Q137" si="71">IF(K137="",+H137/1000*J137,+H137/1000*J137/1000*K137)</f>
        <v>345.46908000000002</v>
      </c>
      <c r="R137" s="58">
        <f t="shared" ref="R137" si="72">+Q137*O137</f>
        <v>690.93816000000004</v>
      </c>
      <c r="S137" s="58">
        <f t="shared" ref="S137" si="73">+Q137*P137</f>
        <v>690.93816000000004</v>
      </c>
      <c r="T137" s="58"/>
      <c r="U137" s="58"/>
      <c r="V137" s="54" t="str">
        <f>IF(U136&gt;100,"EXTRAPESADO",IF(U136&lt;=100,IF(U136&gt;=60,"PESADO",IF(U136&lt;60,IF(U136&gt;=30,"MEDIANO","LIVIANO")))))</f>
        <v>LIVIANO</v>
      </c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I137" s="58" t="s">
        <v>48</v>
      </c>
      <c r="AJ137" s="52" t="str">
        <f>IF(A137=0,"NORMA", +VLOOKUP(A137,[3]!AREA2014A,15))</f>
        <v>A36</v>
      </c>
      <c r="AL137" s="54" t="str">
        <f t="shared" ref="AL137" si="74">AL136</f>
        <v>TVP7</v>
      </c>
      <c r="AM137" s="54" t="s">
        <v>49</v>
      </c>
    </row>
    <row r="138" spans="1:39" x14ac:dyDescent="0.2">
      <c r="A138" s="52">
        <v>689</v>
      </c>
      <c r="B138" s="53">
        <f>B135</f>
        <v>1</v>
      </c>
      <c r="C138" s="54" t="s">
        <v>48</v>
      </c>
      <c r="D138" s="52" t="s">
        <v>126</v>
      </c>
      <c r="E138" s="54" t="s">
        <v>46</v>
      </c>
      <c r="F138" s="54" t="str">
        <f>IF(A138=0,"SERIE",+VLOOKUP(A138,[3]!AREA2014A,3))</f>
        <v>PLE 15mm</v>
      </c>
      <c r="G138" s="54" t="s">
        <v>127</v>
      </c>
      <c r="H138" s="55">
        <f>IF(A138=0,"PESOU",+VLOOKUP(A138,[3]!AREA2014A,4))*$B$2</f>
        <v>117.75</v>
      </c>
      <c r="I138" s="56" t="str">
        <f>IF(A138=0,"CODIGO", +VLOOKUP(A138,[3]!AREA2014A,13))</f>
        <v>12.54.52.420.01</v>
      </c>
      <c r="J138" s="57">
        <v>450</v>
      </c>
      <c r="K138" s="57">
        <v>450</v>
      </c>
      <c r="L138" s="57">
        <v>0.432</v>
      </c>
      <c r="M138" s="57">
        <v>0.86</v>
      </c>
      <c r="N138" s="57" t="s">
        <v>48</v>
      </c>
      <c r="O138" s="58">
        <v>2</v>
      </c>
      <c r="P138" s="58">
        <f t="shared" si="66"/>
        <v>2</v>
      </c>
      <c r="Q138" s="59">
        <f t="shared" si="67"/>
        <v>23.844374999999999</v>
      </c>
      <c r="R138" s="58">
        <f t="shared" si="68"/>
        <v>47.688749999999999</v>
      </c>
      <c r="S138" s="58">
        <f t="shared" si="69"/>
        <v>47.688749999999999</v>
      </c>
      <c r="T138" s="58"/>
      <c r="U138" s="58"/>
      <c r="V138" s="54" t="str">
        <f>IF(U135&gt;100,"EXTRAPESADO",IF(U135&lt;=100,IF(U135&gt;=60,"PESADO",IF(U135&lt;60,IF(U135&gt;=30,"MEDIANO","LIVIANO")))))</f>
        <v>EXTRAPESADO</v>
      </c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I138" s="58" t="s">
        <v>48</v>
      </c>
      <c r="AJ138" s="52" t="str">
        <f>IF(A138=0,"NORMA", +VLOOKUP(A138,[3]!AREA2014A,15))</f>
        <v>A36</v>
      </c>
      <c r="AL138" s="54" t="str">
        <f>AL136</f>
        <v>TVP7</v>
      </c>
      <c r="AM138" s="54" t="s">
        <v>49</v>
      </c>
    </row>
    <row r="139" spans="1:39" x14ac:dyDescent="0.2">
      <c r="A139" s="52">
        <v>687</v>
      </c>
      <c r="B139" s="53">
        <f>B135</f>
        <v>1</v>
      </c>
      <c r="C139" s="54" t="s">
        <v>48</v>
      </c>
      <c r="D139" s="52" t="s">
        <v>128</v>
      </c>
      <c r="E139" s="54" t="s">
        <v>46</v>
      </c>
      <c r="F139" s="54" t="str">
        <f>IF(A139=0,"SERIE",+VLOOKUP(A139,[3]!AREA2014A,3))</f>
        <v>PLE 12mm</v>
      </c>
      <c r="G139" s="54" t="s">
        <v>129</v>
      </c>
      <c r="H139" s="55">
        <f>IF(A139=0,"PESOU",+VLOOKUP(A139,[3]!AREA2014A,4))*$B$2</f>
        <v>94.2</v>
      </c>
      <c r="I139" s="56" t="str">
        <f>IF(A139=0,"CODIGO", +VLOOKUP(A139,[3]!AREA2014A,13))</f>
        <v>12.54.52.390.00</v>
      </c>
      <c r="J139" s="57">
        <v>317</v>
      </c>
      <c r="K139" s="57">
        <v>219</v>
      </c>
      <c r="L139" s="57">
        <v>0.11899999999999999</v>
      </c>
      <c r="M139" s="57">
        <v>1.43</v>
      </c>
      <c r="N139" s="57" t="s">
        <v>48</v>
      </c>
      <c r="O139" s="58">
        <v>12</v>
      </c>
      <c r="P139" s="58">
        <f t="shared" si="66"/>
        <v>12</v>
      </c>
      <c r="Q139" s="59">
        <f t="shared" si="67"/>
        <v>6.5396466000000011</v>
      </c>
      <c r="R139" s="58">
        <f t="shared" si="68"/>
        <v>78.475759200000013</v>
      </c>
      <c r="S139" s="58">
        <f t="shared" si="69"/>
        <v>78.475759200000013</v>
      </c>
      <c r="T139" s="58"/>
      <c r="U139" s="58"/>
      <c r="V139" s="54" t="str">
        <f>IF(U135&gt;100,"EXTRAPESADO",IF(U135&lt;=100,IF(U135&gt;=60,"PESADO",IF(U135&lt;60,IF(U135&gt;=30,"MEDIANO","LIVIANO")))))</f>
        <v>EXTRAPESADO</v>
      </c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I139" s="58" t="s">
        <v>48</v>
      </c>
      <c r="AJ139" s="52" t="str">
        <f>IF(A139=0,"NORMA", +VLOOKUP(A139,[3]!AREA2014A,15))</f>
        <v>A36</v>
      </c>
      <c r="AL139" s="54" t="str">
        <f t="shared" si="70"/>
        <v>TVP7</v>
      </c>
      <c r="AM139" s="54" t="s">
        <v>49</v>
      </c>
    </row>
    <row r="140" spans="1:39" x14ac:dyDescent="0.2">
      <c r="A140" s="52">
        <v>693</v>
      </c>
      <c r="B140" s="53">
        <f>B135</f>
        <v>1</v>
      </c>
      <c r="C140" s="54" t="s">
        <v>48</v>
      </c>
      <c r="D140" s="52" t="s">
        <v>119</v>
      </c>
      <c r="E140" s="54" t="s">
        <v>107</v>
      </c>
      <c r="F140" s="54" t="str">
        <f>IF(A140=0,"SERIE",+VLOOKUP(A140,[3]!AREA2014A,3))</f>
        <v>PLE 20mm</v>
      </c>
      <c r="G140" s="54" t="s">
        <v>108</v>
      </c>
      <c r="H140" s="55">
        <f>IF(A140=0,"PESOU",+VLOOKUP(A140,[3]!AREA2014A,4))*$B$2</f>
        <v>157</v>
      </c>
      <c r="I140" s="56" t="str">
        <f>IF(A140=0,"CODIGO", +VLOOKUP(A140,[3]!AREA2014A,13))</f>
        <v>12.54.52.470.03</v>
      </c>
      <c r="J140" s="57">
        <v>350</v>
      </c>
      <c r="K140" s="57">
        <v>300</v>
      </c>
      <c r="L140" s="57">
        <v>0.23599999999999999</v>
      </c>
      <c r="M140" s="57">
        <v>0.47</v>
      </c>
      <c r="N140" s="57" t="s">
        <v>48</v>
      </c>
      <c r="O140" s="58">
        <v>2</v>
      </c>
      <c r="P140" s="58">
        <f t="shared" si="66"/>
        <v>2</v>
      </c>
      <c r="Q140" s="59">
        <f t="shared" si="67"/>
        <v>16.485000000000003</v>
      </c>
      <c r="R140" s="58">
        <f t="shared" si="68"/>
        <v>32.970000000000006</v>
      </c>
      <c r="S140" s="58">
        <f t="shared" si="69"/>
        <v>32.970000000000006</v>
      </c>
      <c r="T140" s="58"/>
      <c r="U140" s="58"/>
      <c r="V140" s="54" t="str">
        <f>IF(U135&gt;100,"EXTRAPESADO",IF(U135&lt;=100,IF(U135&gt;=60,"PESADO",IF(U135&lt;60,IF(U135&gt;=30,"MEDIANO","LIVIANO")))))</f>
        <v>EXTRAPESADO</v>
      </c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I140" s="58" t="s">
        <v>48</v>
      </c>
      <c r="AJ140" s="52" t="str">
        <f>IF(A140=0,"NORMA", +VLOOKUP(A140,[3]!AREA2014A,15))</f>
        <v>A36</v>
      </c>
      <c r="AL140" s="54" t="str">
        <f t="shared" si="70"/>
        <v>TVP7</v>
      </c>
      <c r="AM140" s="54" t="s">
        <v>49</v>
      </c>
    </row>
    <row r="141" spans="1:39" x14ac:dyDescent="0.2">
      <c r="A141" s="52">
        <v>686</v>
      </c>
      <c r="B141" s="53">
        <f>B135</f>
        <v>1</v>
      </c>
      <c r="C141" s="54" t="s">
        <v>48</v>
      </c>
      <c r="D141" s="52" t="s">
        <v>130</v>
      </c>
      <c r="E141" s="54" t="s">
        <v>107</v>
      </c>
      <c r="F141" s="54" t="str">
        <f>IF(A141=0,"SERIE",+VLOOKUP(A141,[3]!AREA2014A,3))</f>
        <v>PLE 10mm</v>
      </c>
      <c r="G141" s="54" t="s">
        <v>131</v>
      </c>
      <c r="H141" s="55">
        <f>IF(A141=0,"PESOU",+VLOOKUP(A141,[3]!AREA2014A,4))*$B$2</f>
        <v>78.5</v>
      </c>
      <c r="I141" s="56" t="str">
        <f>IF(A141=0,"CODIGO", +VLOOKUP(A141,[3]!AREA2014A,13))</f>
        <v>12.54.52.370.07</v>
      </c>
      <c r="J141" s="57">
        <v>296</v>
      </c>
      <c r="K141" s="57">
        <v>190</v>
      </c>
      <c r="L141" s="57">
        <v>0.111</v>
      </c>
      <c r="M141" s="57">
        <v>0.22</v>
      </c>
      <c r="N141" s="57" t="s">
        <v>48</v>
      </c>
      <c r="O141" s="58">
        <v>2</v>
      </c>
      <c r="P141" s="58">
        <f t="shared" si="66"/>
        <v>2</v>
      </c>
      <c r="Q141" s="59">
        <f t="shared" si="67"/>
        <v>4.4148399999999999</v>
      </c>
      <c r="R141" s="58">
        <f t="shared" si="68"/>
        <v>8.8296799999999998</v>
      </c>
      <c r="S141" s="58">
        <f t="shared" si="69"/>
        <v>8.8296799999999998</v>
      </c>
      <c r="T141" s="58"/>
      <c r="U141" s="58"/>
      <c r="V141" s="54" t="str">
        <f>IF(U135&gt;100,"EXTRAPESADO",IF(U135&lt;=100,IF(U135&gt;=60,"PESADO",IF(U135&lt;60,IF(U135&gt;=30,"MEDIANO","LIVIANO")))))</f>
        <v>EXTRAPESADO</v>
      </c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I141" s="58" t="s">
        <v>48</v>
      </c>
      <c r="AJ141" s="52" t="str">
        <f>IF(A141=0,"NORMA", +VLOOKUP(A141,[3]!AREA2014A,15))</f>
        <v>A36</v>
      </c>
      <c r="AL141" s="54" t="str">
        <f t="shared" si="70"/>
        <v>TVP7</v>
      </c>
      <c r="AM141" s="54" t="s">
        <v>49</v>
      </c>
    </row>
    <row r="142" spans="1:39" x14ac:dyDescent="0.2">
      <c r="A142" s="52">
        <v>686</v>
      </c>
      <c r="B142" s="53">
        <f>B135</f>
        <v>1</v>
      </c>
      <c r="C142" s="54" t="s">
        <v>48</v>
      </c>
      <c r="D142" s="52" t="s">
        <v>132</v>
      </c>
      <c r="E142" s="54" t="s">
        <v>107</v>
      </c>
      <c r="F142" s="54" t="str">
        <f>IF(A142=0,"SERIE",+VLOOKUP(A142,[3]!AREA2014A,3))</f>
        <v>PLE 10mm</v>
      </c>
      <c r="G142" s="54" t="s">
        <v>133</v>
      </c>
      <c r="H142" s="55">
        <f>IF(A142=0,"PESOU",+VLOOKUP(A142,[3]!AREA2014A,4))*$B$2</f>
        <v>78.5</v>
      </c>
      <c r="I142" s="56" t="str">
        <f>IF(A142=0,"CODIGO", +VLOOKUP(A142,[3]!AREA2014A,13))</f>
        <v>12.54.52.370.07</v>
      </c>
      <c r="J142" s="57">
        <v>296</v>
      </c>
      <c r="K142" s="57">
        <v>143</v>
      </c>
      <c r="L142" s="57">
        <v>9.1999999999999998E-2</v>
      </c>
      <c r="M142" s="57">
        <v>0.09</v>
      </c>
      <c r="N142" s="57" t="s">
        <v>48</v>
      </c>
      <c r="O142" s="58">
        <v>1</v>
      </c>
      <c r="P142" s="58">
        <f t="shared" si="66"/>
        <v>1</v>
      </c>
      <c r="Q142" s="59">
        <f t="shared" si="67"/>
        <v>3.3227479999999998</v>
      </c>
      <c r="R142" s="58">
        <f t="shared" si="68"/>
        <v>3.3227479999999998</v>
      </c>
      <c r="S142" s="58">
        <f t="shared" si="69"/>
        <v>3.3227479999999998</v>
      </c>
      <c r="T142" s="58"/>
      <c r="U142" s="58"/>
      <c r="V142" s="54" t="str">
        <f>IF(U135&gt;100,"EXTRAPESADO",IF(U135&lt;=100,IF(U135&gt;=60,"PESADO",IF(U135&lt;60,IF(U135&gt;=30,"MEDIANO","LIVIANO")))))</f>
        <v>EXTRAPESADO</v>
      </c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I142" s="58" t="s">
        <v>48</v>
      </c>
      <c r="AJ142" s="52" t="str">
        <f>IF(A142=0,"NORMA", +VLOOKUP(A142,[3]!AREA2014A,15))</f>
        <v>A36</v>
      </c>
      <c r="AL142" s="54" t="str">
        <f t="shared" si="70"/>
        <v>TVP7</v>
      </c>
      <c r="AM142" s="54" t="s">
        <v>49</v>
      </c>
    </row>
    <row r="143" spans="1:39" x14ac:dyDescent="0.2">
      <c r="A143" s="52">
        <v>686</v>
      </c>
      <c r="B143" s="53">
        <f>B135</f>
        <v>1</v>
      </c>
      <c r="C143" s="54" t="s">
        <v>48</v>
      </c>
      <c r="D143" s="52" t="s">
        <v>135</v>
      </c>
      <c r="E143" s="54" t="s">
        <v>110</v>
      </c>
      <c r="F143" s="54" t="str">
        <f>IF(A143=0,"SERIE",+VLOOKUP(A143,[3]!AREA2014A,3))</f>
        <v>PLE 10mm</v>
      </c>
      <c r="G143" s="54" t="s">
        <v>55</v>
      </c>
      <c r="H143" s="55">
        <f>IF(A143=0,"PESOU",+VLOOKUP(A143,[3]!AREA2014A,4))*$B$2</f>
        <v>78.5</v>
      </c>
      <c r="I143" s="56" t="str">
        <f>IF(A143=0,"CODIGO", +VLOOKUP(A143,[3]!AREA2014A,13))</f>
        <v>12.54.52.370.07</v>
      </c>
      <c r="J143" s="57">
        <v>293</v>
      </c>
      <c r="K143" s="57">
        <v>144</v>
      </c>
      <c r="L143" s="57">
        <v>9.1999999999999998E-2</v>
      </c>
      <c r="M143" s="57">
        <v>0.18</v>
      </c>
      <c r="N143" s="57" t="s">
        <v>48</v>
      </c>
      <c r="O143" s="58">
        <v>2</v>
      </c>
      <c r="P143" s="58">
        <f t="shared" si="66"/>
        <v>2</v>
      </c>
      <c r="Q143" s="59">
        <f t="shared" si="67"/>
        <v>3.3120720000000001</v>
      </c>
      <c r="R143" s="58">
        <f t="shared" si="68"/>
        <v>6.6241440000000003</v>
      </c>
      <c r="S143" s="58">
        <f t="shared" si="69"/>
        <v>6.6241440000000003</v>
      </c>
      <c r="T143" s="58"/>
      <c r="U143" s="58"/>
      <c r="V143" s="54" t="str">
        <f>IF(U135&gt;100,"EXTRAPESADO",IF(U135&lt;=100,IF(U135&gt;=60,"PESADO",IF(U135&lt;60,IF(U135&gt;=30,"MEDIANO","LIVIANO")))))</f>
        <v>EXTRAPESADO</v>
      </c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I143" s="58" t="s">
        <v>48</v>
      </c>
      <c r="AJ143" s="52" t="str">
        <f>IF(A143=0,"NORMA", +VLOOKUP(A143,[3]!AREA2014A,15))</f>
        <v>A36</v>
      </c>
      <c r="AL143" s="54" t="str">
        <f t="shared" si="70"/>
        <v>TVP7</v>
      </c>
      <c r="AM143" s="54" t="s">
        <v>49</v>
      </c>
    </row>
    <row r="144" spans="1:39" x14ac:dyDescent="0.2">
      <c r="A144" s="52">
        <v>686</v>
      </c>
      <c r="B144" s="53">
        <f>B135</f>
        <v>1</v>
      </c>
      <c r="C144" s="54" t="s">
        <v>48</v>
      </c>
      <c r="D144" s="52" t="s">
        <v>136</v>
      </c>
      <c r="E144" s="54" t="s">
        <v>110</v>
      </c>
      <c r="F144" s="54" t="str">
        <f>IF(A144=0,"SERIE",+VLOOKUP(A144,[3]!AREA2014A,3))</f>
        <v>PLE 10mm</v>
      </c>
      <c r="G144" s="54" t="s">
        <v>55</v>
      </c>
      <c r="H144" s="55">
        <f>IF(A144=0,"PESOU",+VLOOKUP(A144,[3]!AREA2014A,4))*$B$2</f>
        <v>78.5</v>
      </c>
      <c r="I144" s="56" t="str">
        <f>IF(A144=0,"CODIGO", +VLOOKUP(A144,[3]!AREA2014A,13))</f>
        <v>12.54.52.370.07</v>
      </c>
      <c r="J144" s="57">
        <v>293</v>
      </c>
      <c r="K144" s="57">
        <v>144</v>
      </c>
      <c r="L144" s="57">
        <v>9.1999999999999998E-2</v>
      </c>
      <c r="M144" s="57">
        <v>0.37</v>
      </c>
      <c r="N144" s="57" t="s">
        <v>48</v>
      </c>
      <c r="O144" s="58">
        <v>4</v>
      </c>
      <c r="P144" s="58">
        <f t="shared" si="66"/>
        <v>4</v>
      </c>
      <c r="Q144" s="59">
        <f t="shared" si="67"/>
        <v>3.3120720000000001</v>
      </c>
      <c r="R144" s="58">
        <f t="shared" si="68"/>
        <v>13.248288000000001</v>
      </c>
      <c r="S144" s="58">
        <f t="shared" si="69"/>
        <v>13.248288000000001</v>
      </c>
      <c r="T144" s="58"/>
      <c r="U144" s="58"/>
      <c r="V144" s="54" t="str">
        <f>IF(U135&gt;100,"EXTRAPESADO",IF(U135&lt;=100,IF(U135&gt;=60,"PESADO",IF(U135&lt;60,IF(U135&gt;=30,"MEDIANO","LIVIANO")))))</f>
        <v>EXTRAPESADO</v>
      </c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I144" s="58" t="s">
        <v>48</v>
      </c>
      <c r="AJ144" s="52" t="str">
        <f>IF(A144=0,"NORMA", +VLOOKUP(A144,[3]!AREA2014A,15))</f>
        <v>A36</v>
      </c>
      <c r="AL144" s="54" t="str">
        <f t="shared" si="70"/>
        <v>TVP7</v>
      </c>
      <c r="AM144" s="54" t="s">
        <v>49</v>
      </c>
    </row>
    <row r="145" spans="1:39" x14ac:dyDescent="0.2">
      <c r="A145" s="52">
        <v>686</v>
      </c>
      <c r="B145" s="53">
        <f>B135</f>
        <v>1</v>
      </c>
      <c r="C145" s="54" t="s">
        <v>48</v>
      </c>
      <c r="D145" s="52" t="s">
        <v>137</v>
      </c>
      <c r="E145" s="54" t="s">
        <v>110</v>
      </c>
      <c r="F145" s="54" t="str">
        <f>IF(A145=0,"SERIE",+VLOOKUP(A145,[3]!AREA2014A,3))</f>
        <v>PLE 10mm</v>
      </c>
      <c r="G145" s="54" t="s">
        <v>55</v>
      </c>
      <c r="H145" s="55">
        <f>IF(A145=0,"PESOU",+VLOOKUP(A145,[3]!AREA2014A,4))*$B$2</f>
        <v>78.5</v>
      </c>
      <c r="I145" s="56" t="str">
        <f>IF(A145=0,"CODIGO", +VLOOKUP(A145,[3]!AREA2014A,13))</f>
        <v>12.54.52.370.07</v>
      </c>
      <c r="J145" s="57">
        <v>293</v>
      </c>
      <c r="K145" s="57">
        <v>144</v>
      </c>
      <c r="L145" s="57">
        <v>9.1999999999999998E-2</v>
      </c>
      <c r="M145" s="57">
        <v>0.09</v>
      </c>
      <c r="N145" s="57" t="s">
        <v>48</v>
      </c>
      <c r="O145" s="58">
        <v>1</v>
      </c>
      <c r="P145" s="58">
        <f t="shared" si="66"/>
        <v>1</v>
      </c>
      <c r="Q145" s="59">
        <f t="shared" si="67"/>
        <v>3.3120720000000001</v>
      </c>
      <c r="R145" s="58">
        <f t="shared" si="68"/>
        <v>3.3120720000000001</v>
      </c>
      <c r="S145" s="58">
        <f t="shared" si="69"/>
        <v>3.3120720000000001</v>
      </c>
      <c r="T145" s="58"/>
      <c r="U145" s="58"/>
      <c r="V145" s="54" t="str">
        <f>IF(U135&gt;100,"EXTRAPESADO",IF(U135&lt;=100,IF(U135&gt;=60,"PESADO",IF(U135&lt;60,IF(U135&gt;=30,"MEDIANO","LIVIANO")))))</f>
        <v>EXTRAPESADO</v>
      </c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I145" s="58" t="s">
        <v>48</v>
      </c>
      <c r="AJ145" s="52" t="str">
        <f>IF(A145=0,"NORMA", +VLOOKUP(A145,[3]!AREA2014A,15))</f>
        <v>A36</v>
      </c>
      <c r="AL145" s="54" t="str">
        <f t="shared" si="70"/>
        <v>TVP7</v>
      </c>
      <c r="AM145" s="54" t="s">
        <v>49</v>
      </c>
    </row>
    <row r="146" spans="1:39" x14ac:dyDescent="0.2">
      <c r="A146" s="60"/>
      <c r="B146" s="60">
        <v>1</v>
      </c>
      <c r="C146" s="61">
        <v>24</v>
      </c>
      <c r="D146" s="43" t="s">
        <v>154</v>
      </c>
      <c r="E146" s="43" t="s">
        <v>794</v>
      </c>
      <c r="F146" s="43" t="str">
        <f>F147</f>
        <v>PLE 12mm</v>
      </c>
      <c r="G146" s="61" t="str">
        <f>G147</f>
        <v>HEB300</v>
      </c>
      <c r="H146" s="62" t="s">
        <v>48</v>
      </c>
      <c r="I146" s="62"/>
      <c r="J146" s="63">
        <f>MAX(J147:J152)</f>
        <v>6668</v>
      </c>
      <c r="K146" s="63" t="s">
        <v>48</v>
      </c>
      <c r="L146" s="64" t="s">
        <v>48</v>
      </c>
      <c r="M146" s="64" t="s">
        <v>48</v>
      </c>
      <c r="N146" s="63">
        <v>14.7</v>
      </c>
      <c r="O146" s="63">
        <v>1</v>
      </c>
      <c r="P146" s="63">
        <f>O146*TOTALES!$A$1</f>
        <v>1</v>
      </c>
      <c r="Q146" s="64">
        <f>+R146</f>
        <v>961.13861399999985</v>
      </c>
      <c r="R146" s="64">
        <f>SUM(R147:R152)</f>
        <v>961.13861399999985</v>
      </c>
      <c r="S146" s="64" t="s">
        <v>48</v>
      </c>
      <c r="T146" s="64">
        <f>+R146*P146</f>
        <v>961.13861399999985</v>
      </c>
      <c r="U146" s="64">
        <f>R146/(J146/1000)</f>
        <v>144.14196370725853</v>
      </c>
      <c r="V146" s="43" t="str">
        <f>IF(U146&gt;100,"EXTRAPESADO",IF(U146&lt;=100,IF(U146&gt;=60,"PESADO",IF(U146&lt;60,IF(U146&gt;=30,"MEDIANO","LIVIANO")))))</f>
        <v>EXTRAPESADO</v>
      </c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5"/>
      <c r="AI146" s="64" t="s">
        <v>48</v>
      </c>
      <c r="AJ146" s="61" t="str">
        <f>AJ147</f>
        <v>A36</v>
      </c>
      <c r="AK146" s="51"/>
      <c r="AL146" s="43" t="str">
        <f>D146</f>
        <v>TVP8</v>
      </c>
      <c r="AM146" s="43" t="s">
        <v>49</v>
      </c>
    </row>
    <row r="147" spans="1:39" x14ac:dyDescent="0.2">
      <c r="A147" s="52">
        <v>687</v>
      </c>
      <c r="B147" s="53">
        <f>B146</f>
        <v>1</v>
      </c>
      <c r="C147" s="54" t="s">
        <v>48</v>
      </c>
      <c r="D147" s="52" t="s">
        <v>154</v>
      </c>
      <c r="E147" s="54" t="s">
        <v>347</v>
      </c>
      <c r="F147" s="54" t="str">
        <f>IF(A147=0,"SERIE",+VLOOKUP(A147,[3]!AREA2014A,3))</f>
        <v>PLE 12mm</v>
      </c>
      <c r="G147" s="204" t="s">
        <v>53</v>
      </c>
      <c r="H147" s="55">
        <f>IF(A147=0,"PESOU",+VLOOKUP(A147,[3]!AREA2014A,4))*$B$2</f>
        <v>94.2</v>
      </c>
      <c r="I147" s="56" t="str">
        <f>IF(A147=0,"CODIGO", +VLOOKUP(A147,[3]!AREA2014A,13))</f>
        <v>12.54.52.390.00</v>
      </c>
      <c r="J147" s="57">
        <v>6668</v>
      </c>
      <c r="K147" s="57">
        <f>300-40</f>
        <v>260</v>
      </c>
      <c r="L147" s="57">
        <v>11.884</v>
      </c>
      <c r="M147" s="57">
        <v>11.88</v>
      </c>
      <c r="N147" s="57" t="s">
        <v>48</v>
      </c>
      <c r="O147" s="58">
        <v>1</v>
      </c>
      <c r="P147" s="58">
        <f t="shared" ref="P147:P152" si="75">O147*$P$146</f>
        <v>1</v>
      </c>
      <c r="Q147" s="59">
        <f t="shared" ref="Q147:Q152" si="76">IF(K147="",+H147/1000*J147,+H147/1000*J147/1000*K147)</f>
        <v>163.312656</v>
      </c>
      <c r="R147" s="58">
        <f t="shared" ref="R147:R152" si="77">+Q147*O147</f>
        <v>163.312656</v>
      </c>
      <c r="S147" s="58">
        <f t="shared" ref="S147:S152" si="78">+Q147*P147</f>
        <v>163.312656</v>
      </c>
      <c r="T147" s="58"/>
      <c r="U147" s="58"/>
      <c r="V147" s="54" t="str">
        <f>IF(U146&gt;100,"EXTRAPESADO",IF(U146&lt;=100,IF(U146&gt;=60,"PESADO",IF(U146&lt;60,IF(U146&gt;=30,"MEDIANO","LIVIANO")))))</f>
        <v>EXTRAPESADO</v>
      </c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I147" s="58" t="s">
        <v>48</v>
      </c>
      <c r="AJ147" s="52" t="str">
        <f>IF(A147=0,"NORMA", +VLOOKUP(A147,[3]!AREA2014A,15))</f>
        <v>A36</v>
      </c>
      <c r="AL147" s="54" t="str">
        <f>AL146</f>
        <v>TVP8</v>
      </c>
      <c r="AM147" s="54" t="s">
        <v>49</v>
      </c>
    </row>
    <row r="148" spans="1:39" x14ac:dyDescent="0.2">
      <c r="A148" s="52">
        <v>693</v>
      </c>
      <c r="B148" s="53">
        <f>B147</f>
        <v>1</v>
      </c>
      <c r="C148" s="54" t="s">
        <v>48</v>
      </c>
      <c r="D148" s="52" t="s">
        <v>154</v>
      </c>
      <c r="E148" s="54" t="s">
        <v>791</v>
      </c>
      <c r="F148" s="54" t="str">
        <f>IF(A148=0,"SERIE",+VLOOKUP(A148,[3]!AREA2014A,3))</f>
        <v>PLE 20mm</v>
      </c>
      <c r="G148" s="204" t="s">
        <v>53</v>
      </c>
      <c r="H148" s="55">
        <f>IF(A148=0,"PESOU",+VLOOKUP(A148,[3]!AREA2014A,4))*$B$2</f>
        <v>157</v>
      </c>
      <c r="I148" s="56" t="str">
        <f>IF(A148=0,"CODIGO", +VLOOKUP(A148,[3]!AREA2014A,13))</f>
        <v>12.54.52.470.03</v>
      </c>
      <c r="J148" s="57">
        <v>6668</v>
      </c>
      <c r="K148" s="57">
        <v>300</v>
      </c>
      <c r="L148" s="57">
        <v>11.884</v>
      </c>
      <c r="M148" s="57">
        <v>11.88</v>
      </c>
      <c r="N148" s="57" t="s">
        <v>48</v>
      </c>
      <c r="O148" s="58">
        <v>2</v>
      </c>
      <c r="P148" s="58">
        <f t="shared" si="75"/>
        <v>2</v>
      </c>
      <c r="Q148" s="59">
        <f t="shared" si="76"/>
        <v>314.06279999999998</v>
      </c>
      <c r="R148" s="58">
        <f t="shared" si="77"/>
        <v>628.12559999999996</v>
      </c>
      <c r="S148" s="58">
        <f t="shared" si="78"/>
        <v>628.12559999999996</v>
      </c>
      <c r="T148" s="58"/>
      <c r="U148" s="58"/>
      <c r="V148" s="54" t="str">
        <f>IF(U147&gt;100,"EXTRAPESADO",IF(U147&lt;=100,IF(U147&gt;=60,"PESADO",IF(U147&lt;60,IF(U147&gt;=30,"MEDIANO","LIVIANO")))))</f>
        <v>LIVIANO</v>
      </c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I148" s="58" t="s">
        <v>48</v>
      </c>
      <c r="AJ148" s="52" t="str">
        <f>IF(A148=0,"NORMA", +VLOOKUP(A148,[3]!AREA2014A,15))</f>
        <v>A36</v>
      </c>
      <c r="AL148" s="54" t="str">
        <f>AL147</f>
        <v>TVP8</v>
      </c>
      <c r="AM148" s="54" t="s">
        <v>49</v>
      </c>
    </row>
    <row r="149" spans="1:39" x14ac:dyDescent="0.2">
      <c r="A149" s="52">
        <v>687</v>
      </c>
      <c r="B149" s="53">
        <f>B146</f>
        <v>1</v>
      </c>
      <c r="C149" s="54" t="s">
        <v>48</v>
      </c>
      <c r="D149" s="52" t="s">
        <v>139</v>
      </c>
      <c r="E149" s="54" t="s">
        <v>46</v>
      </c>
      <c r="F149" s="54" t="str">
        <f>IF(A149=0,"SERIE",+VLOOKUP(A149,[3]!AREA2014A,3))</f>
        <v>PLE 12mm</v>
      </c>
      <c r="G149" s="54" t="s">
        <v>129</v>
      </c>
      <c r="H149" s="55">
        <f>IF(A149=0,"PESOU",+VLOOKUP(A149,[3]!AREA2014A,4))*$B$2</f>
        <v>94.2</v>
      </c>
      <c r="I149" s="56" t="str">
        <f>IF(A149=0,"CODIGO", +VLOOKUP(A149,[3]!AREA2014A,13))</f>
        <v>12.54.52.390.00</v>
      </c>
      <c r="J149" s="57">
        <v>280</v>
      </c>
      <c r="K149" s="57">
        <v>219</v>
      </c>
      <c r="L149" s="57">
        <v>0.104</v>
      </c>
      <c r="M149" s="57">
        <v>1.25</v>
      </c>
      <c r="N149" s="57" t="s">
        <v>48</v>
      </c>
      <c r="O149" s="58">
        <v>12</v>
      </c>
      <c r="P149" s="58">
        <f t="shared" si="75"/>
        <v>12</v>
      </c>
      <c r="Q149" s="59">
        <f t="shared" si="76"/>
        <v>5.7763439999999999</v>
      </c>
      <c r="R149" s="58">
        <f t="shared" si="77"/>
        <v>69.316127999999992</v>
      </c>
      <c r="S149" s="58">
        <f t="shared" si="78"/>
        <v>69.316127999999992</v>
      </c>
      <c r="T149" s="58"/>
      <c r="U149" s="58"/>
      <c r="V149" s="54" t="str">
        <f>IF(U146&gt;100,"EXTRAPESADO",IF(U146&lt;=100,IF(U146&gt;=60,"PESADO",IF(U146&lt;60,IF(U146&gt;=30,"MEDIANO","LIVIANO")))))</f>
        <v>EXTRAPESADO</v>
      </c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I149" s="58" t="s">
        <v>48</v>
      </c>
      <c r="AJ149" s="52" t="str">
        <f>IF(A149=0,"NORMA", +VLOOKUP(A149,[3]!AREA2014A,15))</f>
        <v>A36</v>
      </c>
      <c r="AL149" s="54" t="str">
        <f>AL147</f>
        <v>TVP8</v>
      </c>
      <c r="AM149" s="54" t="s">
        <v>49</v>
      </c>
    </row>
    <row r="150" spans="1:39" x14ac:dyDescent="0.2">
      <c r="A150" s="52">
        <v>689</v>
      </c>
      <c r="B150" s="53">
        <f>B146</f>
        <v>1</v>
      </c>
      <c r="C150" s="54" t="s">
        <v>48</v>
      </c>
      <c r="D150" s="52" t="s">
        <v>126</v>
      </c>
      <c r="E150" s="54" t="s">
        <v>46</v>
      </c>
      <c r="F150" s="54" t="str">
        <f>IF(A150=0,"SERIE",+VLOOKUP(A150,[3]!AREA2014A,3))</f>
        <v>PLE 15mm</v>
      </c>
      <c r="G150" s="54" t="s">
        <v>127</v>
      </c>
      <c r="H150" s="55">
        <f>IF(A150=0,"PESOU",+VLOOKUP(A150,[3]!AREA2014A,4))*$B$2</f>
        <v>117.75</v>
      </c>
      <c r="I150" s="56" t="str">
        <f>IF(A150=0,"CODIGO", +VLOOKUP(A150,[3]!AREA2014A,13))</f>
        <v>12.54.52.420.01</v>
      </c>
      <c r="J150" s="57">
        <v>450</v>
      </c>
      <c r="K150" s="57">
        <v>450</v>
      </c>
      <c r="L150" s="57">
        <v>0.432</v>
      </c>
      <c r="M150" s="57">
        <v>0.86</v>
      </c>
      <c r="N150" s="57" t="s">
        <v>48</v>
      </c>
      <c r="O150" s="58">
        <v>2</v>
      </c>
      <c r="P150" s="58">
        <f t="shared" si="75"/>
        <v>2</v>
      </c>
      <c r="Q150" s="59">
        <f t="shared" si="76"/>
        <v>23.844374999999999</v>
      </c>
      <c r="R150" s="58">
        <f t="shared" si="77"/>
        <v>47.688749999999999</v>
      </c>
      <c r="S150" s="58">
        <f t="shared" si="78"/>
        <v>47.688749999999999</v>
      </c>
      <c r="T150" s="58"/>
      <c r="U150" s="58"/>
      <c r="V150" s="54" t="str">
        <f>IF(U146&gt;100,"EXTRAPESADO",IF(U146&lt;=100,IF(U146&gt;=60,"PESADO",IF(U146&lt;60,IF(U146&gt;=30,"MEDIANO","LIVIANO")))))</f>
        <v>EXTRAPESADO</v>
      </c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I150" s="58" t="s">
        <v>48</v>
      </c>
      <c r="AJ150" s="52" t="str">
        <f>IF(A150=0,"NORMA", +VLOOKUP(A150,[3]!AREA2014A,15))</f>
        <v>A36</v>
      </c>
      <c r="AL150" s="54" t="str">
        <f>AL149</f>
        <v>TVP8</v>
      </c>
      <c r="AM150" s="54" t="s">
        <v>49</v>
      </c>
    </row>
    <row r="151" spans="1:39" x14ac:dyDescent="0.2">
      <c r="A151" s="52">
        <v>693</v>
      </c>
      <c r="B151" s="53">
        <f>B146</f>
        <v>1</v>
      </c>
      <c r="C151" s="54" t="s">
        <v>48</v>
      </c>
      <c r="D151" s="52" t="s">
        <v>106</v>
      </c>
      <c r="E151" s="54" t="s">
        <v>107</v>
      </c>
      <c r="F151" s="54" t="str">
        <f>IF(A151=0,"SERIE",+VLOOKUP(A151,[3]!AREA2014A,3))</f>
        <v>PLE 20mm</v>
      </c>
      <c r="G151" s="54" t="s">
        <v>108</v>
      </c>
      <c r="H151" s="55">
        <f>IF(A151=0,"PESOU",+VLOOKUP(A151,[3]!AREA2014A,4))*$B$2</f>
        <v>157</v>
      </c>
      <c r="I151" s="56" t="str">
        <f>IF(A151=0,"CODIGO", +VLOOKUP(A151,[3]!AREA2014A,13))</f>
        <v>12.54.52.470.03</v>
      </c>
      <c r="J151" s="57">
        <v>310</v>
      </c>
      <c r="K151" s="57">
        <v>300</v>
      </c>
      <c r="L151" s="57">
        <v>0.21</v>
      </c>
      <c r="M151" s="57">
        <v>0.42</v>
      </c>
      <c r="N151" s="57" t="s">
        <v>48</v>
      </c>
      <c r="O151" s="58">
        <v>2</v>
      </c>
      <c r="P151" s="58">
        <f t="shared" si="75"/>
        <v>2</v>
      </c>
      <c r="Q151" s="59">
        <f t="shared" si="76"/>
        <v>14.601000000000001</v>
      </c>
      <c r="R151" s="58">
        <f t="shared" si="77"/>
        <v>29.202000000000002</v>
      </c>
      <c r="S151" s="58">
        <f t="shared" si="78"/>
        <v>29.202000000000002</v>
      </c>
      <c r="T151" s="58"/>
      <c r="U151" s="58"/>
      <c r="V151" s="54" t="str">
        <f>IF(U146&gt;100,"EXTRAPESADO",IF(U146&lt;=100,IF(U146&gt;=60,"PESADO",IF(U146&lt;60,IF(U146&gt;=30,"MEDIANO","LIVIANO")))))</f>
        <v>EXTRAPESADO</v>
      </c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I151" s="58" t="s">
        <v>48</v>
      </c>
      <c r="AJ151" s="52" t="str">
        <f>IF(A151=0,"NORMA", +VLOOKUP(A151,[3]!AREA2014A,15))</f>
        <v>A36</v>
      </c>
      <c r="AL151" s="54" t="str">
        <f>AL150</f>
        <v>TVP8</v>
      </c>
      <c r="AM151" s="54" t="s">
        <v>49</v>
      </c>
    </row>
    <row r="152" spans="1:39" x14ac:dyDescent="0.2">
      <c r="A152" s="52">
        <v>686</v>
      </c>
      <c r="B152" s="53">
        <f>B146</f>
        <v>1</v>
      </c>
      <c r="C152" s="54" t="s">
        <v>48</v>
      </c>
      <c r="D152" s="52" t="s">
        <v>140</v>
      </c>
      <c r="E152" s="54" t="s">
        <v>110</v>
      </c>
      <c r="F152" s="54" t="str">
        <f>IF(A152=0,"SERIE",+VLOOKUP(A152,[3]!AREA2014A,3))</f>
        <v>PLE 10mm</v>
      </c>
      <c r="G152" s="54" t="s">
        <v>141</v>
      </c>
      <c r="H152" s="55">
        <f>IF(A152=0,"PESOU",+VLOOKUP(A152,[3]!AREA2014A,4))*$B$2</f>
        <v>78.5</v>
      </c>
      <c r="I152" s="56" t="str">
        <f>IF(A152=0,"CODIGO", +VLOOKUP(A152,[3]!AREA2014A,13))</f>
        <v>12.54.52.370.07</v>
      </c>
      <c r="J152" s="57">
        <v>258</v>
      </c>
      <c r="K152" s="57">
        <v>145</v>
      </c>
      <c r="L152" s="57">
        <v>8.1000000000000003E-2</v>
      </c>
      <c r="M152" s="57">
        <v>0.65</v>
      </c>
      <c r="N152" s="57" t="s">
        <v>48</v>
      </c>
      <c r="O152" s="58">
        <v>8</v>
      </c>
      <c r="P152" s="58">
        <f t="shared" si="75"/>
        <v>8</v>
      </c>
      <c r="Q152" s="59">
        <f t="shared" si="76"/>
        <v>2.9366850000000002</v>
      </c>
      <c r="R152" s="58">
        <f t="shared" si="77"/>
        <v>23.493480000000002</v>
      </c>
      <c r="S152" s="58">
        <f t="shared" si="78"/>
        <v>23.493480000000002</v>
      </c>
      <c r="T152" s="58"/>
      <c r="U152" s="58"/>
      <c r="V152" s="54" t="str">
        <f>IF(U146&gt;100,"EXTRAPESADO",IF(U146&lt;=100,IF(U146&gt;=60,"PESADO",IF(U146&lt;60,IF(U146&gt;=30,"MEDIANO","LIVIANO")))))</f>
        <v>EXTRAPESADO</v>
      </c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I152" s="58" t="s">
        <v>48</v>
      </c>
      <c r="AJ152" s="52" t="str">
        <f>IF(A152=0,"NORMA", +VLOOKUP(A152,[3]!AREA2014A,15))</f>
        <v>A36</v>
      </c>
      <c r="AL152" s="54" t="str">
        <f>AL151</f>
        <v>TVP8</v>
      </c>
      <c r="AM152" s="54" t="s">
        <v>49</v>
      </c>
    </row>
    <row r="153" spans="1:39" x14ac:dyDescent="0.2">
      <c r="A153" s="60"/>
      <c r="B153" s="60">
        <v>1</v>
      </c>
      <c r="C153" s="61">
        <v>25</v>
      </c>
      <c r="D153" s="43" t="s">
        <v>155</v>
      </c>
      <c r="E153" s="43" t="s">
        <v>797</v>
      </c>
      <c r="F153" s="43" t="str">
        <f>F154</f>
        <v>PLE 12mm</v>
      </c>
      <c r="G153" s="61" t="str">
        <f>G154</f>
        <v>HI340-12-20X250</v>
      </c>
      <c r="H153" s="62" t="s">
        <v>48</v>
      </c>
      <c r="I153" s="62"/>
      <c r="J153" s="63">
        <f>MAX(J154:J162)</f>
        <v>2768</v>
      </c>
      <c r="K153" s="63" t="s">
        <v>48</v>
      </c>
      <c r="L153" s="64" t="s">
        <v>48</v>
      </c>
      <c r="M153" s="64" t="s">
        <v>48</v>
      </c>
      <c r="N153" s="63">
        <v>6</v>
      </c>
      <c r="O153" s="63">
        <v>1</v>
      </c>
      <c r="P153" s="63">
        <f>O153*TOTALES!$A$1</f>
        <v>1</v>
      </c>
      <c r="Q153" s="64">
        <f>+R153</f>
        <v>368.22855360000011</v>
      </c>
      <c r="R153" s="64">
        <f>SUM(R154:R162)</f>
        <v>368.22855360000011</v>
      </c>
      <c r="S153" s="64" t="s">
        <v>48</v>
      </c>
      <c r="T153" s="64">
        <f>+R153*P153</f>
        <v>368.22855360000011</v>
      </c>
      <c r="U153" s="64">
        <f>R153/(J153/1000)</f>
        <v>133.03054682080929</v>
      </c>
      <c r="V153" s="43" t="str">
        <f>IF(U153&gt;100,"EXTRAPESADO",IF(U153&lt;=100,IF(U153&gt;=60,"PESADO",IF(U153&lt;60,IF(U153&gt;=30,"MEDIANO","LIVIANO")))))</f>
        <v>EXTRAPESADO</v>
      </c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5"/>
      <c r="AI153" s="64" t="s">
        <v>48</v>
      </c>
      <c r="AJ153" s="61" t="str">
        <f>AJ154</f>
        <v>A36</v>
      </c>
      <c r="AK153" s="51"/>
      <c r="AL153" s="43" t="str">
        <f>D153</f>
        <v>TVP9</v>
      </c>
      <c r="AM153" s="43" t="s">
        <v>49</v>
      </c>
    </row>
    <row r="154" spans="1:39" x14ac:dyDescent="0.2">
      <c r="A154" s="52">
        <v>687</v>
      </c>
      <c r="B154" s="53">
        <f>B153</f>
        <v>1</v>
      </c>
      <c r="C154" s="54" t="s">
        <v>48</v>
      </c>
      <c r="D154" s="52" t="s">
        <v>155</v>
      </c>
      <c r="E154" s="54" t="s">
        <v>347</v>
      </c>
      <c r="F154" s="54" t="str">
        <f>IF(A154=0,"SERIE",+VLOOKUP(A154,[3]!AREA2014A,3))</f>
        <v>PLE 12mm</v>
      </c>
      <c r="G154" s="204" t="s">
        <v>116</v>
      </c>
      <c r="H154" s="55">
        <f>IF(A154=0,"PESOU",+VLOOKUP(A154,[3]!AREA2014A,4))*$B$2</f>
        <v>94.2</v>
      </c>
      <c r="I154" s="56" t="str">
        <f>IF(A154=0,"CODIGO", +VLOOKUP(A154,[3]!AREA2014A,13))</f>
        <v>12.54.52.390.00</v>
      </c>
      <c r="J154" s="57">
        <v>2768</v>
      </c>
      <c r="K154" s="205">
        <f>340-40</f>
        <v>300</v>
      </c>
      <c r="L154" s="57">
        <v>4.6109999999999998</v>
      </c>
      <c r="M154" s="57">
        <v>4.6100000000000003</v>
      </c>
      <c r="N154" s="57" t="s">
        <v>48</v>
      </c>
      <c r="O154" s="58">
        <v>1</v>
      </c>
      <c r="P154" s="58">
        <f t="shared" ref="P154:P162" si="79">O154*$P$153</f>
        <v>1</v>
      </c>
      <c r="Q154" s="59">
        <f t="shared" ref="Q154:Q162" si="80">IF(K154="",+H154/1000*J154,+H154/1000*J154/1000*K154)</f>
        <v>78.223680000000002</v>
      </c>
      <c r="R154" s="58">
        <f t="shared" ref="R154:R162" si="81">+Q154*O154</f>
        <v>78.223680000000002</v>
      </c>
      <c r="S154" s="58">
        <f t="shared" ref="S154:S162" si="82">+Q154*P154</f>
        <v>78.223680000000002</v>
      </c>
      <c r="T154" s="58"/>
      <c r="U154" s="58"/>
      <c r="V154" s="54" t="str">
        <f>IF(U153&gt;100,"EXTRAPESADO",IF(U153&lt;=100,IF(U153&gt;=60,"PESADO",IF(U153&lt;60,IF(U153&gt;=30,"MEDIANO","LIVIANO")))))</f>
        <v>EXTRAPESADO</v>
      </c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I154" s="58" t="s">
        <v>48</v>
      </c>
      <c r="AJ154" s="52" t="str">
        <f>IF(A154=0,"NORMA", +VLOOKUP(A154,[3]!AREA2014A,15))</f>
        <v>A36</v>
      </c>
      <c r="AL154" s="54" t="str">
        <f t="shared" ref="AL154:AL162" si="83">AL153</f>
        <v>TVP9</v>
      </c>
      <c r="AM154" s="54" t="s">
        <v>49</v>
      </c>
    </row>
    <row r="155" spans="1:39" x14ac:dyDescent="0.2">
      <c r="A155" s="52">
        <v>693</v>
      </c>
      <c r="B155" s="53">
        <f>B154</f>
        <v>1</v>
      </c>
      <c r="C155" s="54" t="s">
        <v>48</v>
      </c>
      <c r="D155" s="52" t="s">
        <v>155</v>
      </c>
      <c r="E155" s="54" t="s">
        <v>791</v>
      </c>
      <c r="F155" s="54" t="str">
        <f>IF(A155=0,"SERIE",+VLOOKUP(A155,[3]!AREA2014A,3))</f>
        <v>PLE 20mm</v>
      </c>
      <c r="G155" s="204" t="s">
        <v>116</v>
      </c>
      <c r="H155" s="55">
        <f>IF(A155=0,"PESOU",+VLOOKUP(A155,[3]!AREA2014A,4))*$B$2</f>
        <v>157</v>
      </c>
      <c r="I155" s="56" t="str">
        <f>IF(A155=0,"CODIGO", +VLOOKUP(A155,[3]!AREA2014A,13))</f>
        <v>12.54.52.470.03</v>
      </c>
      <c r="J155" s="57">
        <v>2768</v>
      </c>
      <c r="K155" s="57">
        <v>250</v>
      </c>
      <c r="L155" s="57">
        <v>4.6109999999999998</v>
      </c>
      <c r="M155" s="57">
        <v>4.6100000000000003</v>
      </c>
      <c r="N155" s="57" t="s">
        <v>48</v>
      </c>
      <c r="O155" s="58">
        <v>2</v>
      </c>
      <c r="P155" s="58">
        <f t="shared" si="79"/>
        <v>2</v>
      </c>
      <c r="Q155" s="59">
        <f t="shared" ref="Q155" si="84">IF(K155="",+H155/1000*J155,+H155/1000*J155/1000*K155)</f>
        <v>108.64400000000001</v>
      </c>
      <c r="R155" s="58">
        <f t="shared" ref="R155" si="85">+Q155*O155</f>
        <v>217.28800000000001</v>
      </c>
      <c r="S155" s="58">
        <f t="shared" ref="S155" si="86">+Q155*P155</f>
        <v>217.28800000000001</v>
      </c>
      <c r="T155" s="58"/>
      <c r="U155" s="58"/>
      <c r="V155" s="54" t="str">
        <f>IF(U154&gt;100,"EXTRAPESADO",IF(U154&lt;=100,IF(U154&gt;=60,"PESADO",IF(U154&lt;60,IF(U154&gt;=30,"MEDIANO","LIVIANO")))))</f>
        <v>LIVIANO</v>
      </c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I155" s="58" t="s">
        <v>48</v>
      </c>
      <c r="AJ155" s="52" t="str">
        <f>IF(A155=0,"NORMA", +VLOOKUP(A155,[3]!AREA2014A,15))</f>
        <v>A36</v>
      </c>
      <c r="AL155" s="54" t="str">
        <f t="shared" ref="AL155" si="87">AL154</f>
        <v>TVP9</v>
      </c>
      <c r="AM155" s="54" t="s">
        <v>49</v>
      </c>
    </row>
    <row r="156" spans="1:39" x14ac:dyDescent="0.2">
      <c r="A156" s="52">
        <v>693</v>
      </c>
      <c r="B156" s="53">
        <f>B153</f>
        <v>1</v>
      </c>
      <c r="C156" s="54" t="s">
        <v>48</v>
      </c>
      <c r="D156" s="52" t="s">
        <v>117</v>
      </c>
      <c r="E156" s="54" t="s">
        <v>104</v>
      </c>
      <c r="F156" s="54" t="str">
        <f>IF(A156=0,"SERIE",+VLOOKUP(A156,[3]!AREA2014A,3))</f>
        <v>PLE 20mm</v>
      </c>
      <c r="G156" s="54" t="s">
        <v>61</v>
      </c>
      <c r="H156" s="55">
        <f>IF(A156=0,"PESOU",+VLOOKUP(A156,[3]!AREA2014A,4))*$B$2</f>
        <v>157</v>
      </c>
      <c r="I156" s="56" t="str">
        <f>IF(A156=0,"CODIGO", +VLOOKUP(A156,[3]!AREA2014A,13))</f>
        <v>12.54.52.470.03</v>
      </c>
      <c r="J156" s="57">
        <v>350</v>
      </c>
      <c r="K156" s="57">
        <v>250</v>
      </c>
      <c r="L156" s="57">
        <v>0.19900000000000001</v>
      </c>
      <c r="M156" s="57">
        <v>0.2</v>
      </c>
      <c r="N156" s="57" t="s">
        <v>48</v>
      </c>
      <c r="O156" s="58">
        <v>1</v>
      </c>
      <c r="P156" s="58">
        <f t="shared" si="79"/>
        <v>1</v>
      </c>
      <c r="Q156" s="59">
        <f t="shared" si="80"/>
        <v>13.737500000000001</v>
      </c>
      <c r="R156" s="58">
        <f t="shared" si="81"/>
        <v>13.737500000000001</v>
      </c>
      <c r="S156" s="58">
        <f t="shared" si="82"/>
        <v>13.737500000000001</v>
      </c>
      <c r="T156" s="58"/>
      <c r="U156" s="58"/>
      <c r="V156" s="54" t="str">
        <f>IF(U153&gt;100,"EXTRAPESADO",IF(U153&lt;=100,IF(U153&gt;=60,"PESADO",IF(U153&lt;60,IF(U153&gt;=30,"MEDIANO","LIVIANO")))))</f>
        <v>EXTRAPESADO</v>
      </c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I156" s="58" t="s">
        <v>48</v>
      </c>
      <c r="AJ156" s="52" t="str">
        <f>IF(A156=0,"NORMA", +VLOOKUP(A156,[3]!AREA2014A,15))</f>
        <v>A36</v>
      </c>
      <c r="AL156" s="54" t="str">
        <f>AL154</f>
        <v>TVP9</v>
      </c>
      <c r="AM156" s="54" t="s">
        <v>49</v>
      </c>
    </row>
    <row r="157" spans="1:39" x14ac:dyDescent="0.2">
      <c r="A157" s="52">
        <v>693</v>
      </c>
      <c r="B157" s="53">
        <f>B153</f>
        <v>1</v>
      </c>
      <c r="C157" s="54" t="s">
        <v>48</v>
      </c>
      <c r="D157" s="52" t="s">
        <v>118</v>
      </c>
      <c r="E157" s="54" t="s">
        <v>46</v>
      </c>
      <c r="F157" s="54" t="str">
        <f>IF(A157=0,"SERIE",+VLOOKUP(A157,[3]!AREA2014A,3))</f>
        <v>PLE 20mm</v>
      </c>
      <c r="G157" s="54" t="s">
        <v>61</v>
      </c>
      <c r="H157" s="55">
        <f>IF(A157=0,"PESOU",+VLOOKUP(A157,[3]!AREA2014A,4))*$B$2</f>
        <v>157</v>
      </c>
      <c r="I157" s="56" t="str">
        <f>IF(A157=0,"CODIGO", +VLOOKUP(A157,[3]!AREA2014A,13))</f>
        <v>12.54.52.470.03</v>
      </c>
      <c r="J157" s="57">
        <v>350</v>
      </c>
      <c r="K157" s="57">
        <v>250</v>
      </c>
      <c r="L157" s="57">
        <v>0.19900000000000001</v>
      </c>
      <c r="M157" s="57">
        <v>0.2</v>
      </c>
      <c r="N157" s="57" t="s">
        <v>48</v>
      </c>
      <c r="O157" s="58">
        <v>1</v>
      </c>
      <c r="P157" s="58">
        <f t="shared" si="79"/>
        <v>1</v>
      </c>
      <c r="Q157" s="59">
        <f t="shared" si="80"/>
        <v>13.737500000000001</v>
      </c>
      <c r="R157" s="58">
        <f t="shared" si="81"/>
        <v>13.737500000000001</v>
      </c>
      <c r="S157" s="58">
        <f t="shared" si="82"/>
        <v>13.737500000000001</v>
      </c>
      <c r="T157" s="58"/>
      <c r="U157" s="58"/>
      <c r="V157" s="54" t="str">
        <f>IF(U153&gt;100,"EXTRAPESADO",IF(U153&lt;=100,IF(U153&gt;=60,"PESADO",IF(U153&lt;60,IF(U153&gt;=30,"MEDIANO","LIVIANO")))))</f>
        <v>EXTRAPESADO</v>
      </c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I157" s="58" t="s">
        <v>48</v>
      </c>
      <c r="AJ157" s="52" t="str">
        <f>IF(A157=0,"NORMA", +VLOOKUP(A157,[3]!AREA2014A,15))</f>
        <v>A36</v>
      </c>
      <c r="AL157" s="54" t="str">
        <f t="shared" si="83"/>
        <v>TVP9</v>
      </c>
      <c r="AM157" s="54" t="s">
        <v>49</v>
      </c>
    </row>
    <row r="158" spans="1:39" x14ac:dyDescent="0.2">
      <c r="A158" s="52">
        <v>693</v>
      </c>
      <c r="B158" s="53">
        <f>B153</f>
        <v>1</v>
      </c>
      <c r="C158" s="54" t="s">
        <v>48</v>
      </c>
      <c r="D158" s="52" t="s">
        <v>119</v>
      </c>
      <c r="E158" s="54" t="s">
        <v>107</v>
      </c>
      <c r="F158" s="54" t="str">
        <f>IF(A158=0,"SERIE",+VLOOKUP(A158,[3]!AREA2014A,3))</f>
        <v>PLE 20mm</v>
      </c>
      <c r="G158" s="54" t="s">
        <v>108</v>
      </c>
      <c r="H158" s="55">
        <f>IF(A158=0,"PESOU",+VLOOKUP(A158,[3]!AREA2014A,4))*$B$2</f>
        <v>157</v>
      </c>
      <c r="I158" s="56" t="str">
        <f>IF(A158=0,"CODIGO", +VLOOKUP(A158,[3]!AREA2014A,13))</f>
        <v>12.54.52.470.03</v>
      </c>
      <c r="J158" s="57">
        <v>350</v>
      </c>
      <c r="K158" s="57">
        <v>300</v>
      </c>
      <c r="L158" s="57">
        <v>0.23599999999999999</v>
      </c>
      <c r="M158" s="57">
        <v>0.24</v>
      </c>
      <c r="N158" s="57" t="s">
        <v>48</v>
      </c>
      <c r="O158" s="58">
        <v>1</v>
      </c>
      <c r="P158" s="58">
        <f t="shared" si="79"/>
        <v>1</v>
      </c>
      <c r="Q158" s="59">
        <f t="shared" si="80"/>
        <v>16.485000000000003</v>
      </c>
      <c r="R158" s="58">
        <f t="shared" si="81"/>
        <v>16.485000000000003</v>
      </c>
      <c r="S158" s="58">
        <f t="shared" si="82"/>
        <v>16.485000000000003</v>
      </c>
      <c r="T158" s="58"/>
      <c r="U158" s="58"/>
      <c r="V158" s="54" t="str">
        <f>IF(U153&gt;100,"EXTRAPESADO",IF(U153&lt;=100,IF(U153&gt;=60,"PESADO",IF(U153&lt;60,IF(U153&gt;=30,"MEDIANO","LIVIANO")))))</f>
        <v>EXTRAPESADO</v>
      </c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I158" s="58" t="s">
        <v>48</v>
      </c>
      <c r="AJ158" s="52" t="str">
        <f>IF(A158=0,"NORMA", +VLOOKUP(A158,[3]!AREA2014A,15))</f>
        <v>A36</v>
      </c>
      <c r="AL158" s="54" t="str">
        <f t="shared" si="83"/>
        <v>TVP9</v>
      </c>
      <c r="AM158" s="54" t="s">
        <v>49</v>
      </c>
    </row>
    <row r="159" spans="1:39" x14ac:dyDescent="0.2">
      <c r="A159" s="52">
        <v>687</v>
      </c>
      <c r="B159" s="53">
        <f>B153</f>
        <v>1</v>
      </c>
      <c r="C159" s="54" t="s">
        <v>48</v>
      </c>
      <c r="D159" s="52" t="s">
        <v>120</v>
      </c>
      <c r="E159" s="54" t="s">
        <v>110</v>
      </c>
      <c r="F159" s="54" t="str">
        <f>IF(A159=0,"SERIE",+VLOOKUP(A159,[3]!AREA2014A,3))</f>
        <v>PLE 12mm</v>
      </c>
      <c r="G159" s="54" t="s">
        <v>111</v>
      </c>
      <c r="H159" s="55">
        <f>IF(A159=0,"PESOU",+VLOOKUP(A159,[3]!AREA2014A,4))*$B$2</f>
        <v>94.2</v>
      </c>
      <c r="I159" s="56" t="str">
        <f>IF(A159=0,"CODIGO", +VLOOKUP(A159,[3]!AREA2014A,13))</f>
        <v>12.54.52.390.00</v>
      </c>
      <c r="J159" s="57">
        <v>296</v>
      </c>
      <c r="K159" s="57">
        <v>119</v>
      </c>
      <c r="L159" s="57">
        <v>7.6999999999999999E-2</v>
      </c>
      <c r="M159" s="57">
        <v>0.08</v>
      </c>
      <c r="N159" s="57" t="s">
        <v>48</v>
      </c>
      <c r="O159" s="58">
        <v>1</v>
      </c>
      <c r="P159" s="58">
        <f t="shared" si="79"/>
        <v>1</v>
      </c>
      <c r="Q159" s="59">
        <f t="shared" si="80"/>
        <v>3.3181008000000003</v>
      </c>
      <c r="R159" s="58">
        <f t="shared" si="81"/>
        <v>3.3181008000000003</v>
      </c>
      <c r="S159" s="58">
        <f t="shared" si="82"/>
        <v>3.3181008000000003</v>
      </c>
      <c r="T159" s="58"/>
      <c r="U159" s="58"/>
      <c r="V159" s="54" t="str">
        <f>IF(U153&gt;100,"EXTRAPESADO",IF(U153&lt;=100,IF(U153&gt;=60,"PESADO",IF(U153&lt;60,IF(U153&gt;=30,"MEDIANO","LIVIANO")))))</f>
        <v>EXTRAPESADO</v>
      </c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I159" s="58" t="s">
        <v>48</v>
      </c>
      <c r="AJ159" s="52" t="str">
        <f>IF(A159=0,"NORMA", +VLOOKUP(A159,[3]!AREA2014A,15))</f>
        <v>A36</v>
      </c>
      <c r="AL159" s="54" t="str">
        <f t="shared" si="83"/>
        <v>TVP9</v>
      </c>
      <c r="AM159" s="54" t="s">
        <v>49</v>
      </c>
    </row>
    <row r="160" spans="1:39" x14ac:dyDescent="0.2">
      <c r="A160" s="52">
        <v>687</v>
      </c>
      <c r="B160" s="53">
        <f>B153</f>
        <v>1</v>
      </c>
      <c r="C160" s="54" t="s">
        <v>48</v>
      </c>
      <c r="D160" s="52" t="s">
        <v>121</v>
      </c>
      <c r="E160" s="54" t="s">
        <v>110</v>
      </c>
      <c r="F160" s="54" t="str">
        <f>IF(A160=0,"SERIE",+VLOOKUP(A160,[3]!AREA2014A,3))</f>
        <v>PLE 12mm</v>
      </c>
      <c r="G160" s="54" t="s">
        <v>111</v>
      </c>
      <c r="H160" s="55">
        <f>IF(A160=0,"PESOU",+VLOOKUP(A160,[3]!AREA2014A,4))*$B$2</f>
        <v>94.2</v>
      </c>
      <c r="I160" s="56" t="str">
        <f>IF(A160=0,"CODIGO", +VLOOKUP(A160,[3]!AREA2014A,13))</f>
        <v>12.54.52.390.00</v>
      </c>
      <c r="J160" s="57">
        <v>296</v>
      </c>
      <c r="K160" s="57">
        <v>119</v>
      </c>
      <c r="L160" s="57">
        <v>7.9000000000000001E-2</v>
      </c>
      <c r="M160" s="57">
        <v>0.08</v>
      </c>
      <c r="N160" s="57" t="s">
        <v>48</v>
      </c>
      <c r="O160" s="58">
        <v>1</v>
      </c>
      <c r="P160" s="58">
        <f t="shared" si="79"/>
        <v>1</v>
      </c>
      <c r="Q160" s="59">
        <f t="shared" si="80"/>
        <v>3.3181008000000003</v>
      </c>
      <c r="R160" s="58">
        <f t="shared" si="81"/>
        <v>3.3181008000000003</v>
      </c>
      <c r="S160" s="58">
        <f t="shared" si="82"/>
        <v>3.3181008000000003</v>
      </c>
      <c r="T160" s="58"/>
      <c r="U160" s="58"/>
      <c r="V160" s="54" t="str">
        <f>IF(U153&gt;100,"EXTRAPESADO",IF(U153&lt;=100,IF(U153&gt;=60,"PESADO",IF(U153&lt;60,IF(U153&gt;=30,"MEDIANO","LIVIANO")))))</f>
        <v>EXTRAPESADO</v>
      </c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I160" s="58" t="s">
        <v>48</v>
      </c>
      <c r="AJ160" s="52" t="str">
        <f>IF(A160=0,"NORMA", +VLOOKUP(A160,[3]!AREA2014A,15))</f>
        <v>A36</v>
      </c>
      <c r="AL160" s="54" t="str">
        <f t="shared" si="83"/>
        <v>TVP9</v>
      </c>
      <c r="AM160" s="54" t="s">
        <v>49</v>
      </c>
    </row>
    <row r="161" spans="1:39" x14ac:dyDescent="0.2">
      <c r="A161" s="52">
        <v>686</v>
      </c>
      <c r="B161" s="53">
        <f>B153</f>
        <v>1</v>
      </c>
      <c r="C161" s="54" t="s">
        <v>48</v>
      </c>
      <c r="D161" s="52" t="s">
        <v>122</v>
      </c>
      <c r="E161" s="54" t="s">
        <v>110</v>
      </c>
      <c r="F161" s="54" t="str">
        <f>IF(A161=0,"SERIE",+VLOOKUP(A161,[3]!AREA2014A,3))</f>
        <v>PLE 10mm</v>
      </c>
      <c r="G161" s="54" t="s">
        <v>114</v>
      </c>
      <c r="H161" s="55">
        <f>IF(A161=0,"PESOU",+VLOOKUP(A161,[3]!AREA2014A,4))*$B$2</f>
        <v>78.5</v>
      </c>
      <c r="I161" s="56" t="str">
        <f>IF(A161=0,"CODIGO", +VLOOKUP(A161,[3]!AREA2014A,13))</f>
        <v>12.54.52.370.07</v>
      </c>
      <c r="J161" s="57">
        <v>296</v>
      </c>
      <c r="K161" s="57">
        <v>119</v>
      </c>
      <c r="L161" s="57">
        <v>7.6999999999999999E-2</v>
      </c>
      <c r="M161" s="57">
        <v>0.08</v>
      </c>
      <c r="N161" s="57" t="s">
        <v>48</v>
      </c>
      <c r="O161" s="58">
        <v>1</v>
      </c>
      <c r="P161" s="58">
        <f t="shared" si="79"/>
        <v>1</v>
      </c>
      <c r="Q161" s="59">
        <f t="shared" si="80"/>
        <v>2.7650839999999999</v>
      </c>
      <c r="R161" s="58">
        <f t="shared" si="81"/>
        <v>2.7650839999999999</v>
      </c>
      <c r="S161" s="58">
        <f t="shared" si="82"/>
        <v>2.7650839999999999</v>
      </c>
      <c r="T161" s="58"/>
      <c r="U161" s="58"/>
      <c r="V161" s="54" t="str">
        <f>IF(U153&gt;100,"EXTRAPESADO",IF(U153&lt;=100,IF(U153&gt;=60,"PESADO",IF(U153&lt;60,IF(U153&gt;=30,"MEDIANO","LIVIANO")))))</f>
        <v>EXTRAPESADO</v>
      </c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I161" s="58" t="s">
        <v>48</v>
      </c>
      <c r="AJ161" s="52" t="str">
        <f>IF(A161=0,"NORMA", +VLOOKUP(A161,[3]!AREA2014A,15))</f>
        <v>A36</v>
      </c>
      <c r="AL161" s="54" t="str">
        <f t="shared" si="83"/>
        <v>TVP9</v>
      </c>
      <c r="AM161" s="54" t="s">
        <v>49</v>
      </c>
    </row>
    <row r="162" spans="1:39" x14ac:dyDescent="0.2">
      <c r="A162" s="52">
        <v>686</v>
      </c>
      <c r="B162" s="53">
        <f>B153</f>
        <v>1</v>
      </c>
      <c r="C162" s="54" t="s">
        <v>48</v>
      </c>
      <c r="D162" s="52" t="s">
        <v>123</v>
      </c>
      <c r="E162" s="54" t="s">
        <v>110</v>
      </c>
      <c r="F162" s="54" t="str">
        <f>IF(A162=0,"SERIE",+VLOOKUP(A162,[3]!AREA2014A,3))</f>
        <v>PLE 10mm</v>
      </c>
      <c r="G162" s="54" t="s">
        <v>114</v>
      </c>
      <c r="H162" s="55">
        <f>IF(A162=0,"PESOU",+VLOOKUP(A162,[3]!AREA2014A,4))*$B$2</f>
        <v>78.5</v>
      </c>
      <c r="I162" s="56" t="str">
        <f>IF(A162=0,"CODIGO", +VLOOKUP(A162,[3]!AREA2014A,13))</f>
        <v>12.54.52.370.07</v>
      </c>
      <c r="J162" s="57">
        <v>296</v>
      </c>
      <c r="K162" s="57">
        <v>119</v>
      </c>
      <c r="L162" s="57">
        <v>7.6999999999999999E-2</v>
      </c>
      <c r="M162" s="57">
        <v>0.54</v>
      </c>
      <c r="N162" s="57" t="s">
        <v>48</v>
      </c>
      <c r="O162" s="58">
        <v>7</v>
      </c>
      <c r="P162" s="58">
        <f t="shared" si="79"/>
        <v>7</v>
      </c>
      <c r="Q162" s="59">
        <f t="shared" si="80"/>
        <v>2.7650839999999999</v>
      </c>
      <c r="R162" s="58">
        <f t="shared" si="81"/>
        <v>19.355587999999997</v>
      </c>
      <c r="S162" s="58">
        <f t="shared" si="82"/>
        <v>19.355587999999997</v>
      </c>
      <c r="T162" s="58"/>
      <c r="U162" s="58"/>
      <c r="V162" s="54" t="str">
        <f>IF(U153&gt;100,"EXTRAPESADO",IF(U153&lt;=100,IF(U153&gt;=60,"PESADO",IF(U153&lt;60,IF(U153&gt;=30,"MEDIANO","LIVIANO")))))</f>
        <v>EXTRAPESADO</v>
      </c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I162" s="58" t="s">
        <v>48</v>
      </c>
      <c r="AJ162" s="52" t="str">
        <f>IF(A162=0,"NORMA", +VLOOKUP(A162,[3]!AREA2014A,15))</f>
        <v>A36</v>
      </c>
      <c r="AL162" s="54" t="str">
        <f t="shared" si="83"/>
        <v>TVP9</v>
      </c>
      <c r="AM162" s="54" t="s">
        <v>49</v>
      </c>
    </row>
    <row r="163" spans="1:39" x14ac:dyDescent="0.2">
      <c r="A163" s="60"/>
      <c r="B163" s="60">
        <v>1</v>
      </c>
      <c r="C163" s="61">
        <v>26</v>
      </c>
      <c r="D163" s="43" t="s">
        <v>54</v>
      </c>
      <c r="E163" s="43" t="s">
        <v>107</v>
      </c>
      <c r="F163" s="43" t="str">
        <f>F164</f>
        <v>PLE 10mm</v>
      </c>
      <c r="G163" s="61" t="str">
        <f>G164</f>
        <v>PL10X143</v>
      </c>
      <c r="H163" s="62" t="s">
        <v>48</v>
      </c>
      <c r="I163" s="62"/>
      <c r="J163" s="63">
        <f>MAX(J164)</f>
        <v>296</v>
      </c>
      <c r="K163" s="63" t="s">
        <v>48</v>
      </c>
      <c r="L163" s="64" t="s">
        <v>48</v>
      </c>
      <c r="M163" s="64" t="s">
        <v>48</v>
      </c>
      <c r="N163" s="63">
        <v>0.1</v>
      </c>
      <c r="O163" s="63">
        <v>16</v>
      </c>
      <c r="P163" s="63">
        <f>O163*TOTALES!$A$1</f>
        <v>16</v>
      </c>
      <c r="Q163" s="64">
        <f>+R163</f>
        <v>3.3227479999999998</v>
      </c>
      <c r="R163" s="64">
        <f>SUM(R164)</f>
        <v>3.3227479999999998</v>
      </c>
      <c r="S163" s="64" t="s">
        <v>48</v>
      </c>
      <c r="T163" s="64">
        <f>+R163*P163</f>
        <v>53.163967999999997</v>
      </c>
      <c r="U163" s="64">
        <f>R163/(J163/1000)</f>
        <v>11.2255</v>
      </c>
      <c r="V163" s="43" t="str">
        <f>IF(U163&gt;100,"EXTRAPESADO",IF(U163&lt;=100,IF(U163&gt;=60,"PESADO",IF(U163&lt;60,IF(U163&gt;=30,"MEDIANO","LIVIANO")))))</f>
        <v>LIVIANO</v>
      </c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5"/>
      <c r="AI163" s="64" t="s">
        <v>48</v>
      </c>
      <c r="AJ163" s="61" t="str">
        <f>AJ164</f>
        <v>A36</v>
      </c>
      <c r="AK163" s="51"/>
      <c r="AL163" s="43" t="str">
        <f>D163</f>
        <v>p1</v>
      </c>
      <c r="AM163" s="43" t="s">
        <v>49</v>
      </c>
    </row>
    <row r="164" spans="1:39" x14ac:dyDescent="0.2">
      <c r="A164" s="52">
        <v>686</v>
      </c>
      <c r="B164" s="53">
        <f>B163</f>
        <v>1</v>
      </c>
      <c r="C164" s="54" t="s">
        <v>48</v>
      </c>
      <c r="D164" s="52" t="s">
        <v>54</v>
      </c>
      <c r="E164" s="54" t="s">
        <v>107</v>
      </c>
      <c r="F164" s="54" t="str">
        <f>IF(A164=0,"SERIE",+VLOOKUP(A164,[3]!AREA2014A,3))</f>
        <v>PLE 10mm</v>
      </c>
      <c r="G164" s="54" t="s">
        <v>133</v>
      </c>
      <c r="H164" s="55">
        <f>IF(A164=0,"PESOU",+VLOOKUP(A164,[3]!AREA2014A,4))*$B$2</f>
        <v>78.5</v>
      </c>
      <c r="I164" s="56" t="str">
        <f>IF(A164=0,"CODIGO", +VLOOKUP(A164,[3]!AREA2014A,13))</f>
        <v>12.54.52.370.07</v>
      </c>
      <c r="J164" s="57">
        <v>296</v>
      </c>
      <c r="K164" s="57">
        <v>143</v>
      </c>
      <c r="L164" s="57">
        <v>9.1999999999999998E-2</v>
      </c>
      <c r="M164" s="57">
        <v>1.46</v>
      </c>
      <c r="N164" s="57" t="s">
        <v>48</v>
      </c>
      <c r="O164" s="58">
        <v>1</v>
      </c>
      <c r="P164" s="58">
        <f>O164*$P$163</f>
        <v>16</v>
      </c>
      <c r="Q164" s="59">
        <f>IF(K164="",+H164/1000*J164,+H164/1000*J164/1000*K164)</f>
        <v>3.3227479999999998</v>
      </c>
      <c r="R164" s="58">
        <f>+Q164*O164</f>
        <v>3.3227479999999998</v>
      </c>
      <c r="S164" s="58">
        <f>+Q164*P164</f>
        <v>53.163967999999997</v>
      </c>
      <c r="T164" s="58"/>
      <c r="U164" s="58"/>
      <c r="V164" s="54" t="str">
        <f>IF(U163&gt;100,"EXTRAPESADO",IF(U163&lt;=100,IF(U163&gt;=60,"PESADO",IF(U163&lt;60,IF(U163&gt;=30,"MEDIANO","LIVIANO")))))</f>
        <v>LIVIANO</v>
      </c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I164" s="58" t="s">
        <v>48</v>
      </c>
      <c r="AJ164" s="52" t="str">
        <f>IF(A164=0,"NORMA", +VLOOKUP(A164,[3]!AREA2014A,15))</f>
        <v>A36</v>
      </c>
      <c r="AL164" s="54" t="str">
        <f>AL163</f>
        <v>p1</v>
      </c>
      <c r="AM164" s="54" t="s">
        <v>49</v>
      </c>
    </row>
    <row r="165" spans="1:39" x14ac:dyDescent="0.2">
      <c r="A165" s="60"/>
      <c r="B165" s="60">
        <v>1</v>
      </c>
      <c r="C165" s="61">
        <v>27</v>
      </c>
      <c r="D165" s="43" t="s">
        <v>117</v>
      </c>
      <c r="E165" s="43" t="s">
        <v>107</v>
      </c>
      <c r="F165" s="43" t="str">
        <f>F166</f>
        <v>PLE 10mm</v>
      </c>
      <c r="G165" s="61" t="str">
        <f>G166</f>
        <v>PL10X165</v>
      </c>
      <c r="H165" s="62" t="s">
        <v>48</v>
      </c>
      <c r="I165" s="62"/>
      <c r="J165" s="63">
        <f>MAX(J166)</f>
        <v>296</v>
      </c>
      <c r="K165" s="63" t="s">
        <v>48</v>
      </c>
      <c r="L165" s="64" t="s">
        <v>48</v>
      </c>
      <c r="M165" s="64" t="s">
        <v>48</v>
      </c>
      <c r="N165" s="63">
        <v>0.1</v>
      </c>
      <c r="O165" s="63">
        <v>2</v>
      </c>
      <c r="P165" s="63">
        <f>O165*TOTALES!$A$1</f>
        <v>2</v>
      </c>
      <c r="Q165" s="64">
        <f>+R165</f>
        <v>3.8339400000000001</v>
      </c>
      <c r="R165" s="64">
        <f>SUM(R166)</f>
        <v>3.8339400000000001</v>
      </c>
      <c r="S165" s="64" t="s">
        <v>48</v>
      </c>
      <c r="T165" s="64">
        <f>+R165*P165</f>
        <v>7.6678800000000003</v>
      </c>
      <c r="U165" s="64">
        <f>R165/(J165/1000)</f>
        <v>12.952500000000001</v>
      </c>
      <c r="V165" s="43" t="str">
        <f>IF(U165&gt;100,"EXTRAPESADO",IF(U165&lt;=100,IF(U165&gt;=60,"PESADO",IF(U165&lt;60,IF(U165&gt;=30,"MEDIANO","LIVIANO")))))</f>
        <v>LIVIANO</v>
      </c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5"/>
      <c r="AI165" s="64" t="s">
        <v>48</v>
      </c>
      <c r="AJ165" s="61" t="str">
        <f>AJ166</f>
        <v>A36</v>
      </c>
      <c r="AK165" s="51"/>
      <c r="AL165" s="43" t="str">
        <f>D165</f>
        <v>p2</v>
      </c>
      <c r="AM165" s="43" t="s">
        <v>49</v>
      </c>
    </row>
    <row r="166" spans="1:39" x14ac:dyDescent="0.2">
      <c r="A166" s="52">
        <v>686</v>
      </c>
      <c r="B166" s="53">
        <f>B165</f>
        <v>1</v>
      </c>
      <c r="C166" s="54" t="s">
        <v>48</v>
      </c>
      <c r="D166" s="52" t="s">
        <v>117</v>
      </c>
      <c r="E166" s="54" t="s">
        <v>107</v>
      </c>
      <c r="F166" s="54" t="str">
        <f>IF(A166=0,"SERIE",+VLOOKUP(A166,[3]!AREA2014A,3))</f>
        <v>PLE 10mm</v>
      </c>
      <c r="G166" s="54" t="s">
        <v>156</v>
      </c>
      <c r="H166" s="55">
        <f>IF(A166=0,"PESOU",+VLOOKUP(A166,[3]!AREA2014A,4))*$B$2</f>
        <v>78.5</v>
      </c>
      <c r="I166" s="56" t="str">
        <f>IF(A166=0,"CODIGO", +VLOOKUP(A166,[3]!AREA2014A,13))</f>
        <v>12.54.52.370.07</v>
      </c>
      <c r="J166" s="57">
        <v>296</v>
      </c>
      <c r="K166" s="57">
        <v>165</v>
      </c>
      <c r="L166" s="57">
        <v>0.105</v>
      </c>
      <c r="M166" s="57">
        <v>0.21</v>
      </c>
      <c r="N166" s="57" t="s">
        <v>48</v>
      </c>
      <c r="O166" s="58">
        <v>1</v>
      </c>
      <c r="P166" s="58">
        <f>O166*$P$165</f>
        <v>2</v>
      </c>
      <c r="Q166" s="59">
        <f>IF(K166="",+H166/1000*J166,+H166/1000*J166/1000*K166)</f>
        <v>3.8339400000000001</v>
      </c>
      <c r="R166" s="58">
        <f>+Q166*O166</f>
        <v>3.8339400000000001</v>
      </c>
      <c r="S166" s="58">
        <f>+Q166*P166</f>
        <v>7.6678800000000003</v>
      </c>
      <c r="T166" s="58"/>
      <c r="U166" s="58"/>
      <c r="V166" s="54" t="str">
        <f>IF(U165&gt;100,"EXTRAPESADO",IF(U165&lt;=100,IF(U165&gt;=60,"PESADO",IF(U165&lt;60,IF(U165&gt;=30,"MEDIANO","LIVIANO")))))</f>
        <v>LIVIANO</v>
      </c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I166" s="58" t="s">
        <v>48</v>
      </c>
      <c r="AJ166" s="52" t="str">
        <f>IF(A166=0,"NORMA", +VLOOKUP(A166,[3]!AREA2014A,15))</f>
        <v>A36</v>
      </c>
      <c r="AL166" s="54" t="str">
        <f>AL165</f>
        <v>p2</v>
      </c>
      <c r="AM166" s="54" t="s">
        <v>49</v>
      </c>
    </row>
    <row r="168" spans="1:39" x14ac:dyDescent="0.2">
      <c r="A168" s="66"/>
      <c r="B168" s="66"/>
      <c r="C168" s="66"/>
      <c r="D168" s="67"/>
      <c r="E168" s="68"/>
      <c r="F168" s="69"/>
      <c r="G168" s="69"/>
      <c r="H168" s="70"/>
      <c r="I168" s="70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2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2"/>
      <c r="AK168" s="72"/>
      <c r="AL168" s="72"/>
      <c r="AM168" s="72"/>
    </row>
    <row r="169" spans="1:39" ht="10.8" thickBot="1" x14ac:dyDescent="0.25">
      <c r="A169" s="27"/>
      <c r="B169" s="27"/>
      <c r="C169" s="27"/>
      <c r="D169" s="73"/>
      <c r="E169" s="74"/>
      <c r="F169" s="75"/>
      <c r="G169" s="75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30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30"/>
      <c r="AK169" s="30"/>
      <c r="AL169" s="30"/>
      <c r="AM169" s="30"/>
    </row>
    <row r="170" spans="1:39" ht="10.8" thickBot="1" x14ac:dyDescent="0.25">
      <c r="A170" s="76"/>
      <c r="B170" s="76"/>
      <c r="C170" s="76"/>
      <c r="D170" s="76"/>
      <c r="E170" s="76"/>
      <c r="F170" s="76"/>
      <c r="G170" s="76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8" t="s">
        <v>157</v>
      </c>
      <c r="S170" s="79">
        <f>SUBTOTAL(9,S6:S169)</f>
        <v>9648.122148800001</v>
      </c>
      <c r="T170" s="80">
        <f>SUBTOTAL(9,T6:T169)</f>
        <v>9648.122148800001</v>
      </c>
      <c r="U170" s="81"/>
      <c r="V170" s="82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9"/>
      <c r="AK170" s="19"/>
      <c r="AL170" s="19"/>
      <c r="AM170" s="19"/>
    </row>
    <row r="171" spans="1:39" x14ac:dyDescent="0.2">
      <c r="A171" s="27"/>
      <c r="B171" s="27"/>
      <c r="C171" s="27"/>
      <c r="D171" s="74"/>
      <c r="E171" s="74"/>
      <c r="F171" s="74"/>
      <c r="G171" s="74"/>
      <c r="H171" s="85"/>
      <c r="I171" s="85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30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30"/>
      <c r="AK171" s="30"/>
      <c r="AL171" s="30"/>
      <c r="AM171" s="30"/>
    </row>
    <row r="172" spans="1:39" x14ac:dyDescent="0.2">
      <c r="D172" s="86" t="s">
        <v>158</v>
      </c>
      <c r="E172" s="87"/>
      <c r="F172" s="88"/>
      <c r="G172" s="88"/>
      <c r="H172" s="89"/>
      <c r="I172" s="89"/>
      <c r="J172" s="90"/>
      <c r="K172" s="90"/>
      <c r="L172" s="90"/>
      <c r="M172" s="18"/>
      <c r="N172" s="18"/>
      <c r="O172" s="90"/>
      <c r="P172" s="77"/>
      <c r="Q172" s="90"/>
      <c r="R172" s="90"/>
      <c r="S172" s="90"/>
      <c r="T172" s="90"/>
      <c r="U172" s="90"/>
      <c r="V172" s="91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92"/>
      <c r="AK172" s="92"/>
      <c r="AL172" s="92"/>
      <c r="AM172" s="92"/>
    </row>
    <row r="173" spans="1:39" x14ac:dyDescent="0.2">
      <c r="E173" s="93"/>
      <c r="F173" s="91"/>
      <c r="G173" s="91"/>
      <c r="H173" s="90"/>
      <c r="I173" s="90"/>
      <c r="J173" s="90"/>
      <c r="K173" s="90"/>
      <c r="L173" s="90"/>
      <c r="M173" s="90"/>
      <c r="N173" s="90"/>
      <c r="O173" s="90"/>
      <c r="P173" s="77"/>
      <c r="Q173" s="90"/>
      <c r="R173" s="90"/>
      <c r="S173" s="90"/>
      <c r="T173" s="90"/>
      <c r="U173" s="90"/>
      <c r="V173" s="91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92"/>
      <c r="AK173" s="92"/>
      <c r="AL173" s="92"/>
      <c r="AM173" s="92"/>
    </row>
    <row r="174" spans="1:39" x14ac:dyDescent="0.2">
      <c r="E174" s="94" t="s">
        <v>799</v>
      </c>
      <c r="F174" s="95"/>
      <c r="G174" s="95"/>
      <c r="H174" s="96"/>
      <c r="I174" s="96"/>
      <c r="J174" s="96"/>
      <c r="K174" s="96"/>
      <c r="L174" s="96"/>
      <c r="M174" s="96"/>
      <c r="N174" s="96"/>
      <c r="O174" s="96"/>
      <c r="P174" s="97"/>
      <c r="Q174" s="96"/>
      <c r="R174" s="96"/>
      <c r="S174" s="96"/>
      <c r="T174" s="96"/>
      <c r="U174" s="98"/>
      <c r="V174" s="87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92"/>
      <c r="AK174" s="92"/>
      <c r="AL174" s="92"/>
      <c r="AM174" s="92"/>
    </row>
    <row r="175" spans="1:39" x14ac:dyDescent="0.2">
      <c r="E175" s="94"/>
      <c r="F175" s="95"/>
      <c r="G175" s="95"/>
      <c r="H175" s="96"/>
      <c r="I175" s="96"/>
      <c r="J175" s="96"/>
      <c r="K175" s="96"/>
      <c r="L175" s="96"/>
      <c r="M175" s="97"/>
      <c r="N175" s="97"/>
      <c r="O175" s="97"/>
      <c r="P175" s="97"/>
      <c r="Q175" s="96"/>
      <c r="R175" s="96"/>
      <c r="S175" s="96"/>
      <c r="T175" s="96"/>
      <c r="U175" s="98"/>
      <c r="V175" s="87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92"/>
      <c r="AK175" s="92"/>
      <c r="AL175" s="92"/>
      <c r="AM175" s="92"/>
    </row>
    <row r="176" spans="1:39" x14ac:dyDescent="0.2">
      <c r="A176" s="92"/>
      <c r="B176" s="92"/>
      <c r="C176" s="92"/>
      <c r="D176" s="99"/>
      <c r="E176" s="84"/>
      <c r="F176" s="84"/>
      <c r="G176" s="84"/>
      <c r="H176" s="83"/>
      <c r="I176" s="83"/>
      <c r="J176" s="83"/>
      <c r="K176" s="18"/>
      <c r="L176" s="18"/>
      <c r="M176" s="18"/>
      <c r="N176" s="18"/>
      <c r="O176" s="18"/>
      <c r="P176" s="18"/>
      <c r="Q176" s="100"/>
      <c r="R176" s="100"/>
      <c r="S176" s="100"/>
      <c r="T176" s="18"/>
      <c r="U176" s="18"/>
      <c r="V176" s="92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92"/>
      <c r="AK176" s="92"/>
      <c r="AL176" s="92"/>
      <c r="AM176" s="92"/>
    </row>
  </sheetData>
  <protectedRanges>
    <protectedRange password="C92C" sqref="L1:L3 C3 O1:AM3 D1:J3 AJ4:AK4" name="encabezado"/>
    <protectedRange password="C92C" sqref="F6:F167" name="encabezado_1_1"/>
  </protectedRanges>
  <autoFilter ref="A5:AM166" xr:uid="{00000000-0009-0000-0000-000000000000}"/>
  <mergeCells count="4">
    <mergeCell ref="C4:AM4"/>
    <mergeCell ref="G1:T1"/>
    <mergeCell ref="G2:T2"/>
    <mergeCell ref="G3:T3"/>
  </mergeCells>
  <conditionalFormatting sqref="S170:V170 D172:E176">
    <cfRule type="cellIs" dxfId="2" priority="53" stopIfTrue="1" operator="equal">
      <formula>"PORTICO1"</formula>
    </cfRule>
    <cfRule type="cellIs" dxfId="1" priority="54" stopIfTrue="1" operator="equal">
      <formula>"PORTICO2"</formula>
    </cfRule>
    <cfRule type="cellIs" dxfId="0" priority="55" stopIfTrue="1" operator="equal">
      <formula>"PORTICO3"</formula>
    </cfRule>
  </conditionalFormatting>
  <pageMargins left="0.70833330000000005" right="0.3152778" top="0.3541667" bottom="0.39374999999999999" header="0.3152778" footer="0.3152778"/>
  <pageSetup paperSize="9" scale="34" fitToHeight="0" orientation="portrait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='Lista de Articulos'!$A$21" id="{00000000-000E-0000-0000-000003000000}">
            <xm:f>NOT(ISERROR(SEARCH('Lista de Articulos'!$A$21,E6)))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6" operator="containsText" text="='Lista de Articulos'!$A$20" id="{00000000-000E-0000-0000-000006000000}">
            <xm:f>NOT(ISERROR(SEARCH('Lista de Articulos'!$A$20,E6)))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9" operator="containsText" text="='Lista de Articulos'!$A$19" id="{00000000-000E-0000-0000-000009000000}">
            <xm:f>NOT(ISERROR(SEARCH('Lista de Articulos'!$A$19,E6)))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1" operator="containsText" text="='Lista de Articulos'!$A$18" id="{00000000-000E-0000-0000-00000B000000}">
            <xm:f>NOT(ISERROR(SEARCH('Lista de Articulos'!$A$18,E6)))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3" operator="containsText" text="='Lista de Articulos'!$A$17" id="{00000000-000E-0000-0000-00000D000000}">
            <xm:f>NOT(ISERROR(SEARCH('Lista de Articulos'!$A$17,E6)))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5" operator="containsText" text="='Lista de Articulos'!$A$16" id="{00000000-000E-0000-0000-00000F000000}">
            <xm:f>NOT(ISERROR(SEARCH('Lista de Articulos'!$A$16,E6)))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6" operator="containsText" text="='Lista de Articulos'!$A$15" id="{00000000-000E-0000-0000-000010000000}">
            <xm:f>NOT(ISERROR(SEARCH('Lista de Articulos'!$A$15,E6)))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7" operator="containsText" text="='Lista de Articulos'!$A$14" id="{00000000-000E-0000-0000-000011000000}">
            <xm:f>NOT(ISERROR(SEARCH('Lista de Articulos'!$A$14,E6)))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8" operator="containsText" text="='Lista de Articulos'!$A$13" id="{00000000-000E-0000-0000-000012000000}">
            <xm:f>NOT(ISERROR(SEARCH('Lista de Articulos'!$A$13,E6)))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9" operator="containsText" text="='Lista de Articulos'!$A$12" id="{00000000-000E-0000-0000-000013000000}">
            <xm:f>NOT(ISERROR(SEARCH('Lista de Articulos'!$A$12,E6)))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20" operator="containsText" text="='Lista de Articulos'!$A$11" id="{00000000-000E-0000-0000-000014000000}">
            <xm:f>NOT(ISERROR(SEARCH('Lista de Articulos'!$A$11,E6)))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text="='Lista de Articulos'!$A$10" id="{00000000-000E-0000-0000-000015000000}">
            <xm:f>NOT(ISERROR(SEARCH('Lista de Articulos'!$A$10,E6)))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22" operator="containsText" text="='Lista de Articulos'!$A$9" id="{00000000-000E-0000-0000-000016000000}">
            <xm:f>NOT(ISERROR(SEARCH('Lista de Articulos'!$A$9,E6)))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25" operator="containsText" text="='Lista de Articulos'!$A$8" id="{00000000-000E-0000-0000-000019000000}">
            <xm:f>NOT(ISERROR(SEARCH('Lista de Articulos'!$A$8,E6)))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26" operator="containsText" text="='Lista de Articulos'!$A$7" id="{00000000-000E-0000-0000-00001A000000}">
            <xm:f>NOT(ISERROR(SEARCH('Lista de Articulos'!$A$7,E6)))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28" operator="containsText" text="='Lista de Articulos'!$A$6" id="{00000000-000E-0000-0000-00001C000000}">
            <xm:f>NOT(ISERROR(SEARCH('Lista de Articulos'!$A$6,E6)))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29" operator="containsText" text="='Lista de Articulos'!$A$5" id="{00000000-000E-0000-0000-00001D000000}">
            <xm:f>NOT(ISERROR(SEARCH('Lista de Articulos'!$A$5,E6)))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30" operator="containsText" text="='Lista de Articulos'!$A$4" id="{00000000-000E-0000-0000-00001E000000}">
            <xm:f>NOT(ISERROR(SEARCH('Lista de Articulos'!$A$4,E6)))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text="='Lista de Articulos'!$A$3" id="{00000000-000E-0000-0000-00001F000000}">
            <xm:f>NOT(ISERROR(SEARCH('Lista de Articulos'!$A$3,E6)))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text="='Lista de Articulos'!$A$2" id="{00000000-000E-0000-0000-000020000000}">
            <xm:f>NOT(ISERROR(SEARCH('Lista de Articulos'!$A$2,E6)))</xm:f>
            <x14:dxf>
              <fill>
                <patternFill>
                  <bgColor rgb="FFFFFF00"/>
                </patternFill>
              </fill>
            </x14:dxf>
          </x14:cfRule>
          <xm:sqref>E6:E168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"/>
  <sheetViews>
    <sheetView showGridLines="0" zoomScale="115" zoomScaleNormal="115" workbookViewId="0">
      <selection activeCell="I22" sqref="I22"/>
    </sheetView>
  </sheetViews>
  <sheetFormatPr defaultColWidth="11.44140625" defaultRowHeight="13.2" x14ac:dyDescent="0.25"/>
  <cols>
    <col min="1" max="1" width="9.88671875" customWidth="1"/>
    <col min="3" max="3" width="11.33203125" customWidth="1"/>
  </cols>
  <sheetData>
    <row r="1" spans="1:1" ht="28.5" customHeight="1" x14ac:dyDescent="0.25">
      <c r="A1" s="101">
        <v>1</v>
      </c>
    </row>
  </sheetData>
  <printOptions horizontalCentered="1"/>
  <pageMargins left="0" right="0" top="1.1576390000000001" bottom="0" header="0.23611109999999999" footer="0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8"/>
  <sheetViews>
    <sheetView workbookViewId="0">
      <selection activeCell="B3" sqref="B3"/>
    </sheetView>
  </sheetViews>
  <sheetFormatPr defaultColWidth="11.5546875" defaultRowHeight="13.2" x14ac:dyDescent="0.25"/>
  <sheetData>
    <row r="1" spans="1:4" s="1" customFormat="1" ht="26.4" x14ac:dyDescent="0.25">
      <c r="A1" s="1" t="s">
        <v>161</v>
      </c>
      <c r="B1" s="102" t="s">
        <v>162</v>
      </c>
      <c r="C1" s="103" t="s">
        <v>163</v>
      </c>
      <c r="D1" s="104" t="s">
        <v>164</v>
      </c>
    </row>
    <row r="2" spans="1:4" ht="26.4" x14ac:dyDescent="0.25">
      <c r="A2" s="104" t="s">
        <v>162</v>
      </c>
      <c r="B2" t="s">
        <v>165</v>
      </c>
      <c r="C2">
        <v>1</v>
      </c>
      <c r="D2" t="s">
        <v>166</v>
      </c>
    </row>
    <row r="3" spans="1:4" ht="26.4" x14ac:dyDescent="0.25">
      <c r="A3" s="103" t="s">
        <v>163</v>
      </c>
      <c r="B3" t="s">
        <v>167</v>
      </c>
      <c r="C3">
        <v>2</v>
      </c>
      <c r="D3" t="s">
        <v>168</v>
      </c>
    </row>
    <row r="4" spans="1:4" ht="26.4" x14ac:dyDescent="0.25">
      <c r="A4" s="104" t="s">
        <v>164</v>
      </c>
      <c r="B4" t="s">
        <v>169</v>
      </c>
      <c r="C4">
        <v>3</v>
      </c>
      <c r="D4" t="s">
        <v>159</v>
      </c>
    </row>
    <row r="5" spans="1:4" ht="39.6" x14ac:dyDescent="0.25">
      <c r="A5" s="103" t="s">
        <v>170</v>
      </c>
      <c r="B5" t="s">
        <v>171</v>
      </c>
      <c r="C5">
        <v>4</v>
      </c>
      <c r="D5" t="s">
        <v>172</v>
      </c>
    </row>
    <row r="6" spans="1:4" ht="26.4" x14ac:dyDescent="0.25">
      <c r="A6" s="104" t="s">
        <v>173</v>
      </c>
    </row>
    <row r="7" spans="1:4" x14ac:dyDescent="0.25">
      <c r="A7" s="103" t="s">
        <v>174</v>
      </c>
    </row>
    <row r="8" spans="1:4" x14ac:dyDescent="0.25">
      <c r="A8" s="104" t="s">
        <v>175</v>
      </c>
    </row>
    <row r="9" spans="1:4" x14ac:dyDescent="0.25">
      <c r="A9" s="103" t="s">
        <v>176</v>
      </c>
    </row>
    <row r="10" spans="1:4" ht="26.4" x14ac:dyDescent="0.25">
      <c r="A10" s="104" t="s">
        <v>177</v>
      </c>
    </row>
    <row r="11" spans="1:4" x14ac:dyDescent="0.25">
      <c r="A11" s="103" t="s">
        <v>178</v>
      </c>
    </row>
    <row r="12" spans="1:4" ht="39.6" x14ac:dyDescent="0.25">
      <c r="A12" s="104" t="s">
        <v>179</v>
      </c>
    </row>
    <row r="13" spans="1:4" ht="39.6" x14ac:dyDescent="0.25">
      <c r="A13" s="103" t="s">
        <v>180</v>
      </c>
    </row>
    <row r="14" spans="1:4" ht="26.4" x14ac:dyDescent="0.25">
      <c r="A14" s="104" t="s">
        <v>181</v>
      </c>
    </row>
    <row r="15" spans="1:4" x14ac:dyDescent="0.25">
      <c r="A15" s="103" t="s">
        <v>182</v>
      </c>
    </row>
    <row r="16" spans="1:4" x14ac:dyDescent="0.25">
      <c r="A16" s="104" t="s">
        <v>183</v>
      </c>
    </row>
    <row r="17" spans="1:1" x14ac:dyDescent="0.25">
      <c r="A17" s="103" t="s">
        <v>184</v>
      </c>
    </row>
    <row r="18" spans="1:1" ht="52.8" x14ac:dyDescent="0.25">
      <c r="A18" s="104" t="s">
        <v>185</v>
      </c>
    </row>
    <row r="19" spans="1:1" x14ac:dyDescent="0.25">
      <c r="A19" s="103" t="s">
        <v>186</v>
      </c>
    </row>
    <row r="20" spans="1:1" ht="39.6" x14ac:dyDescent="0.25">
      <c r="A20" s="104" t="s">
        <v>187</v>
      </c>
    </row>
    <row r="21" spans="1:1" ht="39.6" x14ac:dyDescent="0.25">
      <c r="A21" s="103" t="s">
        <v>188</v>
      </c>
    </row>
    <row r="22" spans="1:1" ht="26.4" x14ac:dyDescent="0.25">
      <c r="A22" s="104" t="s">
        <v>189</v>
      </c>
    </row>
    <row r="23" spans="1:1" x14ac:dyDescent="0.25">
      <c r="A23" s="103" t="s">
        <v>190</v>
      </c>
    </row>
    <row r="24" spans="1:1" x14ac:dyDescent="0.25">
      <c r="A24" s="104" t="s">
        <v>191</v>
      </c>
    </row>
    <row r="25" spans="1:1" ht="39.6" x14ac:dyDescent="0.25">
      <c r="A25" s="103" t="s">
        <v>192</v>
      </c>
    </row>
    <row r="26" spans="1:1" ht="39.6" x14ac:dyDescent="0.25">
      <c r="A26" s="104" t="s">
        <v>193</v>
      </c>
    </row>
    <row r="27" spans="1:1" ht="26.4" x14ac:dyDescent="0.25">
      <c r="A27" s="103" t="s">
        <v>194</v>
      </c>
    </row>
    <row r="28" spans="1:1" x14ac:dyDescent="0.25">
      <c r="A28" s="104" t="s">
        <v>195</v>
      </c>
    </row>
    <row r="29" spans="1:1" x14ac:dyDescent="0.25">
      <c r="A29" s="103" t="s">
        <v>196</v>
      </c>
    </row>
    <row r="30" spans="1:1" ht="26.4" x14ac:dyDescent="0.25">
      <c r="A30" s="104" t="s">
        <v>197</v>
      </c>
    </row>
    <row r="31" spans="1:1" x14ac:dyDescent="0.25">
      <c r="A31" s="103" t="s">
        <v>198</v>
      </c>
    </row>
    <row r="32" spans="1:1" ht="26.4" x14ac:dyDescent="0.25">
      <c r="A32" s="104" t="s">
        <v>199</v>
      </c>
    </row>
    <row r="33" spans="1:1" x14ac:dyDescent="0.25">
      <c r="A33" s="103" t="s">
        <v>200</v>
      </c>
    </row>
    <row r="34" spans="1:1" ht="26.4" x14ac:dyDescent="0.25">
      <c r="A34" s="104" t="s">
        <v>201</v>
      </c>
    </row>
    <row r="35" spans="1:1" x14ac:dyDescent="0.25">
      <c r="A35" s="103" t="s">
        <v>202</v>
      </c>
    </row>
    <row r="36" spans="1:1" ht="39.6" x14ac:dyDescent="0.25">
      <c r="A36" s="104" t="s">
        <v>203</v>
      </c>
    </row>
    <row r="37" spans="1:1" ht="39.6" x14ac:dyDescent="0.25">
      <c r="A37" s="103" t="s">
        <v>204</v>
      </c>
    </row>
    <row r="38" spans="1:1" ht="39.6" x14ac:dyDescent="0.25">
      <c r="A38" s="104" t="s">
        <v>205</v>
      </c>
    </row>
    <row r="39" spans="1:1" ht="52.8" x14ac:dyDescent="0.25">
      <c r="A39" s="103" t="s">
        <v>206</v>
      </c>
    </row>
    <row r="40" spans="1:1" ht="39.6" x14ac:dyDescent="0.25">
      <c r="A40" s="104" t="s">
        <v>207</v>
      </c>
    </row>
    <row r="41" spans="1:1" ht="39.6" x14ac:dyDescent="0.25">
      <c r="A41" s="103" t="s">
        <v>208</v>
      </c>
    </row>
    <row r="42" spans="1:1" ht="39.6" x14ac:dyDescent="0.25">
      <c r="A42" s="104" t="s">
        <v>209</v>
      </c>
    </row>
    <row r="43" spans="1:1" ht="52.8" x14ac:dyDescent="0.25">
      <c r="A43" s="103" t="s">
        <v>210</v>
      </c>
    </row>
    <row r="44" spans="1:1" x14ac:dyDescent="0.25">
      <c r="A44" s="104" t="s">
        <v>211</v>
      </c>
    </row>
    <row r="45" spans="1:1" ht="26.4" x14ac:dyDescent="0.25">
      <c r="A45" s="103" t="s">
        <v>212</v>
      </c>
    </row>
    <row r="46" spans="1:1" ht="26.4" x14ac:dyDescent="0.25">
      <c r="A46" s="104" t="s">
        <v>213</v>
      </c>
    </row>
    <row r="47" spans="1:1" x14ac:dyDescent="0.25">
      <c r="A47" s="103" t="s">
        <v>214</v>
      </c>
    </row>
    <row r="48" spans="1:1" ht="26.4" x14ac:dyDescent="0.25">
      <c r="A48" s="104" t="s">
        <v>215</v>
      </c>
    </row>
    <row r="49" spans="1:1" ht="39.6" x14ac:dyDescent="0.25">
      <c r="A49" s="103" t="s">
        <v>216</v>
      </c>
    </row>
    <row r="50" spans="1:1" ht="39.6" x14ac:dyDescent="0.25">
      <c r="A50" s="104" t="s">
        <v>217</v>
      </c>
    </row>
    <row r="51" spans="1:1" x14ac:dyDescent="0.25">
      <c r="A51" s="103" t="s">
        <v>218</v>
      </c>
    </row>
    <row r="52" spans="1:1" x14ac:dyDescent="0.25">
      <c r="A52" s="104" t="s">
        <v>219</v>
      </c>
    </row>
    <row r="53" spans="1:1" ht="26.4" x14ac:dyDescent="0.25">
      <c r="A53" s="103" t="s">
        <v>220</v>
      </c>
    </row>
    <row r="54" spans="1:1" ht="39.6" x14ac:dyDescent="0.25">
      <c r="A54" s="104" t="s">
        <v>221</v>
      </c>
    </row>
    <row r="55" spans="1:1" ht="26.4" x14ac:dyDescent="0.25">
      <c r="A55" s="103" t="s">
        <v>222</v>
      </c>
    </row>
    <row r="56" spans="1:1" ht="26.4" x14ac:dyDescent="0.25">
      <c r="A56" s="104" t="s">
        <v>223</v>
      </c>
    </row>
    <row r="57" spans="1:1" x14ac:dyDescent="0.25">
      <c r="A57" s="103" t="s">
        <v>224</v>
      </c>
    </row>
    <row r="58" spans="1:1" ht="26.4" x14ac:dyDescent="0.25">
      <c r="A58" s="104" t="s">
        <v>225</v>
      </c>
    </row>
    <row r="59" spans="1:1" ht="26.4" x14ac:dyDescent="0.25">
      <c r="A59" s="103" t="s">
        <v>226</v>
      </c>
    </row>
    <row r="60" spans="1:1" x14ac:dyDescent="0.25">
      <c r="A60" s="104" t="s">
        <v>227</v>
      </c>
    </row>
    <row r="61" spans="1:1" ht="39.6" x14ac:dyDescent="0.25">
      <c r="A61" s="103" t="s">
        <v>228</v>
      </c>
    </row>
    <row r="62" spans="1:1" ht="26.4" x14ac:dyDescent="0.25">
      <c r="A62" s="104" t="s">
        <v>229</v>
      </c>
    </row>
    <row r="63" spans="1:1" ht="39.6" x14ac:dyDescent="0.25">
      <c r="A63" s="103" t="s">
        <v>230</v>
      </c>
    </row>
    <row r="64" spans="1:1" x14ac:dyDescent="0.25">
      <c r="A64" s="104" t="s">
        <v>231</v>
      </c>
    </row>
    <row r="65" spans="1:1" ht="26.4" x14ac:dyDescent="0.25">
      <c r="A65" s="103" t="s">
        <v>232</v>
      </c>
    </row>
    <row r="66" spans="1:1" ht="26.4" x14ac:dyDescent="0.25">
      <c r="A66" s="104" t="s">
        <v>233</v>
      </c>
    </row>
    <row r="67" spans="1:1" x14ac:dyDescent="0.25">
      <c r="A67" s="103" t="s">
        <v>234</v>
      </c>
    </row>
    <row r="68" spans="1:1" ht="26.4" x14ac:dyDescent="0.25">
      <c r="A68" s="104" t="s">
        <v>235</v>
      </c>
    </row>
    <row r="69" spans="1:1" ht="39.6" x14ac:dyDescent="0.25">
      <c r="A69" s="103" t="s">
        <v>236</v>
      </c>
    </row>
    <row r="70" spans="1:1" ht="26.4" x14ac:dyDescent="0.25">
      <c r="A70" s="104" t="s">
        <v>237</v>
      </c>
    </row>
    <row r="71" spans="1:1" x14ac:dyDescent="0.25">
      <c r="A71" s="103" t="s">
        <v>238</v>
      </c>
    </row>
    <row r="72" spans="1:1" ht="39.6" x14ac:dyDescent="0.25">
      <c r="A72" s="104" t="s">
        <v>239</v>
      </c>
    </row>
    <row r="73" spans="1:1" ht="39.6" x14ac:dyDescent="0.25">
      <c r="A73" s="103" t="s">
        <v>240</v>
      </c>
    </row>
    <row r="74" spans="1:1" ht="39.6" x14ac:dyDescent="0.25">
      <c r="A74" s="104" t="s">
        <v>241</v>
      </c>
    </row>
    <row r="75" spans="1:1" ht="39.6" x14ac:dyDescent="0.25">
      <c r="A75" s="103" t="s">
        <v>242</v>
      </c>
    </row>
    <row r="76" spans="1:1" x14ac:dyDescent="0.25">
      <c r="A76" s="104" t="s">
        <v>243</v>
      </c>
    </row>
    <row r="77" spans="1:1" x14ac:dyDescent="0.25">
      <c r="A77" s="103" t="s">
        <v>244</v>
      </c>
    </row>
    <row r="78" spans="1:1" x14ac:dyDescent="0.25">
      <c r="A78" s="104" t="s">
        <v>245</v>
      </c>
    </row>
    <row r="79" spans="1:1" ht="26.4" x14ac:dyDescent="0.25">
      <c r="A79" s="103" t="s">
        <v>246</v>
      </c>
    </row>
    <row r="80" spans="1:1" ht="26.4" x14ac:dyDescent="0.25">
      <c r="A80" s="104" t="s">
        <v>247</v>
      </c>
    </row>
    <row r="81" spans="1:1" ht="26.4" x14ac:dyDescent="0.25">
      <c r="A81" s="103" t="s">
        <v>248</v>
      </c>
    </row>
    <row r="82" spans="1:1" ht="26.4" x14ac:dyDescent="0.25">
      <c r="A82" s="104" t="s">
        <v>249</v>
      </c>
    </row>
    <row r="83" spans="1:1" ht="26.4" x14ac:dyDescent="0.25">
      <c r="A83" s="103" t="s">
        <v>250</v>
      </c>
    </row>
    <row r="84" spans="1:1" ht="39.6" x14ac:dyDescent="0.25">
      <c r="A84" s="104" t="s">
        <v>251</v>
      </c>
    </row>
    <row r="85" spans="1:1" ht="26.4" x14ac:dyDescent="0.25">
      <c r="A85" s="103" t="s">
        <v>252</v>
      </c>
    </row>
    <row r="86" spans="1:1" x14ac:dyDescent="0.25">
      <c r="A86" s="104" t="s">
        <v>253</v>
      </c>
    </row>
    <row r="87" spans="1:1" ht="26.4" x14ac:dyDescent="0.25">
      <c r="A87" s="103" t="s">
        <v>254</v>
      </c>
    </row>
    <row r="88" spans="1:1" ht="26.4" x14ac:dyDescent="0.25">
      <c r="A88" s="104" t="s">
        <v>255</v>
      </c>
    </row>
    <row r="89" spans="1:1" ht="26.4" x14ac:dyDescent="0.25">
      <c r="A89" s="103" t="s">
        <v>256</v>
      </c>
    </row>
    <row r="90" spans="1:1" x14ac:dyDescent="0.25">
      <c r="A90" s="104" t="s">
        <v>257</v>
      </c>
    </row>
    <row r="91" spans="1:1" x14ac:dyDescent="0.25">
      <c r="A91" s="103" t="s">
        <v>258</v>
      </c>
    </row>
    <row r="92" spans="1:1" x14ac:dyDescent="0.25">
      <c r="A92" s="104" t="s">
        <v>259</v>
      </c>
    </row>
    <row r="93" spans="1:1" x14ac:dyDescent="0.25">
      <c r="A93" s="103" t="s">
        <v>260</v>
      </c>
    </row>
    <row r="94" spans="1:1" ht="26.4" x14ac:dyDescent="0.25">
      <c r="A94" s="104" t="s">
        <v>261</v>
      </c>
    </row>
    <row r="95" spans="1:1" ht="26.4" x14ac:dyDescent="0.25">
      <c r="A95" s="103" t="s">
        <v>262</v>
      </c>
    </row>
    <row r="96" spans="1:1" ht="26.4" x14ac:dyDescent="0.25">
      <c r="A96" s="104" t="s">
        <v>263</v>
      </c>
    </row>
    <row r="97" spans="1:1" ht="26.4" x14ac:dyDescent="0.25">
      <c r="A97" s="103" t="s">
        <v>264</v>
      </c>
    </row>
    <row r="98" spans="1:1" ht="39.6" x14ac:dyDescent="0.25">
      <c r="A98" s="104" t="s">
        <v>265</v>
      </c>
    </row>
    <row r="99" spans="1:1" ht="26.4" x14ac:dyDescent="0.25">
      <c r="A99" s="103" t="s">
        <v>266</v>
      </c>
    </row>
    <row r="100" spans="1:1" ht="26.4" x14ac:dyDescent="0.25">
      <c r="A100" s="104" t="s">
        <v>267</v>
      </c>
    </row>
    <row r="101" spans="1:1" x14ac:dyDescent="0.25">
      <c r="A101" s="103" t="s">
        <v>268</v>
      </c>
    </row>
    <row r="102" spans="1:1" x14ac:dyDescent="0.25">
      <c r="A102" s="104" t="s">
        <v>269</v>
      </c>
    </row>
    <row r="103" spans="1:1" x14ac:dyDescent="0.25">
      <c r="A103" s="103" t="s">
        <v>270</v>
      </c>
    </row>
    <row r="104" spans="1:1" ht="26.4" x14ac:dyDescent="0.25">
      <c r="A104" s="104" t="s">
        <v>271</v>
      </c>
    </row>
    <row r="105" spans="1:1" ht="26.4" x14ac:dyDescent="0.25">
      <c r="A105" s="103" t="s">
        <v>272</v>
      </c>
    </row>
    <row r="106" spans="1:1" ht="26.4" x14ac:dyDescent="0.25">
      <c r="A106" s="104" t="s">
        <v>273</v>
      </c>
    </row>
    <row r="107" spans="1:1" ht="26.4" x14ac:dyDescent="0.25">
      <c r="A107" s="103" t="s">
        <v>274</v>
      </c>
    </row>
    <row r="108" spans="1:1" ht="26.4" x14ac:dyDescent="0.25">
      <c r="A108" s="104" t="s">
        <v>275</v>
      </c>
    </row>
    <row r="109" spans="1:1" ht="39.6" x14ac:dyDescent="0.25">
      <c r="A109" s="103" t="s">
        <v>276</v>
      </c>
    </row>
    <row r="110" spans="1:1" ht="26.4" x14ac:dyDescent="0.25">
      <c r="A110" s="104" t="s">
        <v>277</v>
      </c>
    </row>
    <row r="111" spans="1:1" x14ac:dyDescent="0.25">
      <c r="A111" s="103" t="s">
        <v>278</v>
      </c>
    </row>
    <row r="112" spans="1:1" x14ac:dyDescent="0.25">
      <c r="A112" s="104" t="s">
        <v>279</v>
      </c>
    </row>
    <row r="113" spans="1:1" x14ac:dyDescent="0.25">
      <c r="A113" s="103" t="s">
        <v>280</v>
      </c>
    </row>
    <row r="114" spans="1:1" ht="26.4" x14ac:dyDescent="0.25">
      <c r="A114" s="104" t="s">
        <v>281</v>
      </c>
    </row>
    <row r="115" spans="1:1" x14ac:dyDescent="0.25">
      <c r="A115" s="103" t="s">
        <v>282</v>
      </c>
    </row>
    <row r="116" spans="1:1" ht="39.6" x14ac:dyDescent="0.25">
      <c r="A116" s="104" t="s">
        <v>283</v>
      </c>
    </row>
    <row r="117" spans="1:1" x14ac:dyDescent="0.25">
      <c r="A117" s="103" t="s">
        <v>284</v>
      </c>
    </row>
    <row r="118" spans="1:1" ht="26.4" x14ac:dyDescent="0.25">
      <c r="A118" s="104" t="s">
        <v>285</v>
      </c>
    </row>
    <row r="119" spans="1:1" ht="26.4" x14ac:dyDescent="0.25">
      <c r="A119" s="103" t="s">
        <v>286</v>
      </c>
    </row>
    <row r="120" spans="1:1" x14ac:dyDescent="0.25">
      <c r="A120" s="104" t="s">
        <v>287</v>
      </c>
    </row>
    <row r="121" spans="1:1" ht="26.4" x14ac:dyDescent="0.25">
      <c r="A121" s="103" t="s">
        <v>288</v>
      </c>
    </row>
    <row r="122" spans="1:1" ht="26.4" x14ac:dyDescent="0.25">
      <c r="A122" s="104" t="s">
        <v>289</v>
      </c>
    </row>
    <row r="123" spans="1:1" x14ac:dyDescent="0.25">
      <c r="A123" s="103" t="s">
        <v>290</v>
      </c>
    </row>
    <row r="124" spans="1:1" ht="66" x14ac:dyDescent="0.25">
      <c r="A124" s="104" t="s">
        <v>291</v>
      </c>
    </row>
    <row r="125" spans="1:1" ht="79.2" x14ac:dyDescent="0.25">
      <c r="A125" s="103" t="s">
        <v>292</v>
      </c>
    </row>
    <row r="126" spans="1:1" x14ac:dyDescent="0.25">
      <c r="A126" s="104" t="s">
        <v>293</v>
      </c>
    </row>
    <row r="127" spans="1:1" ht="26.4" x14ac:dyDescent="0.25">
      <c r="A127" s="103" t="s">
        <v>294</v>
      </c>
    </row>
    <row r="128" spans="1:1" ht="26.4" x14ac:dyDescent="0.25">
      <c r="A128" s="104" t="s">
        <v>295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"/>
  <sheetViews>
    <sheetView workbookViewId="0">
      <selection activeCell="K15" sqref="K15"/>
    </sheetView>
  </sheetViews>
  <sheetFormatPr defaultColWidth="11.5546875" defaultRowHeight="13.2" x14ac:dyDescent="0.25"/>
  <cols>
    <col min="1" max="1" width="21.33203125" customWidth="1"/>
    <col min="2" max="2" width="12.33203125" customWidth="1"/>
    <col min="4" max="4" width="26.6640625" bestFit="1" customWidth="1"/>
    <col min="17" max="17" width="28.6640625" customWidth="1"/>
    <col min="18" max="18" width="14" bestFit="1" customWidth="1"/>
  </cols>
  <sheetData>
    <row r="1" spans="1:18" ht="16.2" thickBot="1" x14ac:dyDescent="0.35">
      <c r="G1" s="105" t="s">
        <v>296</v>
      </c>
      <c r="H1" s="105"/>
      <c r="I1" s="105"/>
      <c r="L1" s="106" t="s">
        <v>297</v>
      </c>
      <c r="M1" s="107"/>
      <c r="N1" s="108"/>
      <c r="Q1" s="109" t="s">
        <v>298</v>
      </c>
    </row>
    <row r="2" spans="1:18" ht="14.4" x14ac:dyDescent="0.25">
      <c r="A2" s="110" t="s">
        <v>299</v>
      </c>
      <c r="B2" s="111" t="s">
        <v>300</v>
      </c>
      <c r="D2" s="112" t="s">
        <v>301</v>
      </c>
      <c r="E2" s="113" t="s">
        <v>300</v>
      </c>
      <c r="G2" s="112" t="s">
        <v>4</v>
      </c>
      <c r="H2" s="112" t="s">
        <v>302</v>
      </c>
      <c r="I2" s="112" t="s">
        <v>303</v>
      </c>
      <c r="J2" s="113" t="s">
        <v>304</v>
      </c>
      <c r="L2" s="112" t="s">
        <v>4</v>
      </c>
      <c r="M2" s="112" t="s">
        <v>302</v>
      </c>
      <c r="N2" s="112" t="s">
        <v>303</v>
      </c>
      <c r="O2" s="113" t="s">
        <v>300</v>
      </c>
      <c r="Q2" s="114" t="s">
        <v>3</v>
      </c>
      <c r="R2" s="115" t="s">
        <v>305</v>
      </c>
    </row>
    <row r="3" spans="1:18" ht="14.4" x14ac:dyDescent="0.25">
      <c r="A3" s="116" t="s">
        <v>306</v>
      </c>
      <c r="B3" s="117" t="s">
        <v>307</v>
      </c>
      <c r="D3" s="118" t="s">
        <v>308</v>
      </c>
      <c r="E3" s="119" t="s">
        <v>309</v>
      </c>
      <c r="G3" s="120" t="s">
        <v>310</v>
      </c>
      <c r="H3" s="120" t="s">
        <v>311</v>
      </c>
      <c r="I3" s="120">
        <v>11</v>
      </c>
      <c r="J3" s="121">
        <v>970</v>
      </c>
      <c r="L3" s="120" t="s">
        <v>312</v>
      </c>
      <c r="M3" s="120" t="s">
        <v>311</v>
      </c>
      <c r="N3" s="120">
        <v>11</v>
      </c>
      <c r="O3" s="121">
        <v>950</v>
      </c>
      <c r="Q3" s="122" t="s">
        <v>313</v>
      </c>
      <c r="R3" s="115" t="s">
        <v>305</v>
      </c>
    </row>
    <row r="4" spans="1:18" ht="14.4" x14ac:dyDescent="0.25">
      <c r="A4" s="123"/>
      <c r="B4" s="123"/>
      <c r="G4" s="124" t="s">
        <v>310</v>
      </c>
      <c r="H4" s="124" t="s">
        <v>314</v>
      </c>
      <c r="I4" s="124">
        <v>12</v>
      </c>
      <c r="J4" s="125">
        <v>971</v>
      </c>
      <c r="L4" s="124" t="s">
        <v>312</v>
      </c>
      <c r="M4" s="124" t="s">
        <v>314</v>
      </c>
      <c r="N4" s="124">
        <v>12</v>
      </c>
      <c r="O4" s="125">
        <v>951</v>
      </c>
      <c r="Q4" s="122" t="s">
        <v>312</v>
      </c>
      <c r="R4" t="s">
        <v>312</v>
      </c>
    </row>
    <row r="5" spans="1:18" ht="14.4" x14ac:dyDescent="0.25">
      <c r="G5" s="120" t="s">
        <v>310</v>
      </c>
      <c r="H5" s="120" t="s">
        <v>315</v>
      </c>
      <c r="I5" s="120">
        <v>16</v>
      </c>
      <c r="J5" s="121">
        <v>972</v>
      </c>
      <c r="L5" s="120" t="s">
        <v>312</v>
      </c>
      <c r="M5" s="120" t="s">
        <v>315</v>
      </c>
      <c r="N5" s="120">
        <v>16</v>
      </c>
      <c r="O5" s="121">
        <v>952</v>
      </c>
      <c r="Q5" s="122" t="s">
        <v>316</v>
      </c>
      <c r="R5" s="115" t="s">
        <v>305</v>
      </c>
    </row>
    <row r="6" spans="1:18" ht="28.8" x14ac:dyDescent="0.25">
      <c r="A6" t="s">
        <v>317</v>
      </c>
      <c r="B6" t="s">
        <v>318</v>
      </c>
      <c r="E6" t="s">
        <v>319</v>
      </c>
      <c r="G6" s="124" t="s">
        <v>310</v>
      </c>
      <c r="H6" s="124" t="s">
        <v>320</v>
      </c>
      <c r="I6" s="124">
        <v>14</v>
      </c>
      <c r="J6" s="125">
        <v>973</v>
      </c>
      <c r="L6" s="124" t="s">
        <v>312</v>
      </c>
      <c r="M6" s="124" t="s">
        <v>320</v>
      </c>
      <c r="N6" s="124">
        <v>14</v>
      </c>
      <c r="O6" s="125">
        <v>953</v>
      </c>
      <c r="Q6" s="122" t="s">
        <v>321</v>
      </c>
      <c r="R6" s="115" t="s">
        <v>305</v>
      </c>
    </row>
    <row r="7" spans="1:18" ht="14.4" x14ac:dyDescent="0.25">
      <c r="A7" t="e">
        <f>'ORDENES DE FABRICACION'!#REF!</f>
        <v>#REF!</v>
      </c>
      <c r="B7" t="e">
        <f>VALUE(LEFT(A7,2))</f>
        <v>#REF!</v>
      </c>
      <c r="E7" t="e">
        <f>VLOOKUP('ORDENES DE FABRICACION'!AK6,$Q$2:$R$17,2,FALSE)</f>
        <v>#N/A</v>
      </c>
      <c r="G7" s="120" t="s">
        <v>310</v>
      </c>
      <c r="H7" s="120" t="s">
        <v>322</v>
      </c>
      <c r="I7" s="120"/>
      <c r="J7" s="121">
        <v>974</v>
      </c>
      <c r="L7" s="120" t="s">
        <v>312</v>
      </c>
      <c r="M7" s="120" t="s">
        <v>322</v>
      </c>
      <c r="N7" s="120"/>
      <c r="O7" s="121">
        <v>954</v>
      </c>
      <c r="Q7" s="122" t="s">
        <v>323</v>
      </c>
      <c r="R7" s="115" t="s">
        <v>305</v>
      </c>
    </row>
    <row r="8" spans="1:18" ht="28.8" x14ac:dyDescent="0.25">
      <c r="A8" t="b">
        <v>1</v>
      </c>
      <c r="G8" s="124" t="s">
        <v>310</v>
      </c>
      <c r="H8" s="124" t="s">
        <v>324</v>
      </c>
      <c r="I8" s="124">
        <v>17</v>
      </c>
      <c r="J8" s="125">
        <v>975</v>
      </c>
      <c r="L8" s="124" t="s">
        <v>312</v>
      </c>
      <c r="M8" s="124" t="s">
        <v>324</v>
      </c>
      <c r="N8" s="124">
        <v>17</v>
      </c>
      <c r="O8" s="125">
        <v>955</v>
      </c>
      <c r="Q8" s="122" t="s">
        <v>325</v>
      </c>
      <c r="R8" s="115" t="s">
        <v>305</v>
      </c>
    </row>
    <row r="9" spans="1:18" ht="14.4" x14ac:dyDescent="0.25">
      <c r="A9" t="b">
        <v>0</v>
      </c>
      <c r="G9" s="120" t="s">
        <v>310</v>
      </c>
      <c r="H9" s="120" t="s">
        <v>3</v>
      </c>
      <c r="I9" s="120"/>
      <c r="J9" s="121">
        <v>976</v>
      </c>
      <c r="L9" s="120" t="s">
        <v>312</v>
      </c>
      <c r="M9" s="120" t="s">
        <v>326</v>
      </c>
      <c r="N9" s="120"/>
      <c r="O9" s="121">
        <v>956</v>
      </c>
      <c r="Q9" s="122" t="s">
        <v>327</v>
      </c>
      <c r="R9" s="115" t="s">
        <v>305</v>
      </c>
    </row>
    <row r="10" spans="1:18" ht="14.4" x14ac:dyDescent="0.25">
      <c r="G10" s="116" t="s">
        <v>310</v>
      </c>
      <c r="H10" s="116" t="s">
        <v>328</v>
      </c>
      <c r="I10" s="116"/>
      <c r="J10" s="117">
        <v>978</v>
      </c>
      <c r="L10" s="116" t="s">
        <v>312</v>
      </c>
      <c r="M10" s="116" t="s">
        <v>328</v>
      </c>
      <c r="N10" s="116"/>
      <c r="O10" s="117">
        <v>958</v>
      </c>
      <c r="Q10" s="122" t="s">
        <v>329</v>
      </c>
      <c r="R10" s="115" t="s">
        <v>305</v>
      </c>
    </row>
    <row r="11" spans="1:18" ht="14.4" x14ac:dyDescent="0.25">
      <c r="G11" s="126" t="s">
        <v>310</v>
      </c>
      <c r="H11" s="126" t="s">
        <v>330</v>
      </c>
      <c r="I11" s="126">
        <v>13</v>
      </c>
      <c r="J11" s="126">
        <v>975</v>
      </c>
      <c r="L11" s="126" t="s">
        <v>312</v>
      </c>
      <c r="M11" s="126" t="s">
        <v>330</v>
      </c>
      <c r="N11" s="126">
        <v>13</v>
      </c>
      <c r="O11" s="126">
        <v>955</v>
      </c>
      <c r="Q11" s="122"/>
      <c r="R11" s="115"/>
    </row>
    <row r="12" spans="1:18" ht="28.8" x14ac:dyDescent="0.25">
      <c r="C12" s="127"/>
      <c r="D12" s="127"/>
      <c r="E12" s="127"/>
      <c r="Q12" s="122" t="s">
        <v>331</v>
      </c>
      <c r="R12" s="115" t="s">
        <v>305</v>
      </c>
    </row>
    <row r="13" spans="1:18" ht="14.4" x14ac:dyDescent="0.25">
      <c r="A13" s="128"/>
      <c r="B13" s="128"/>
      <c r="C13" s="129"/>
      <c r="D13" s="129"/>
      <c r="E13" s="129"/>
      <c r="F13" s="128"/>
      <c r="G13" s="128"/>
      <c r="H13" s="128"/>
      <c r="I13" s="128"/>
      <c r="J13" s="128"/>
      <c r="K13" s="128"/>
      <c r="L13" s="128"/>
      <c r="M13" s="128"/>
      <c r="Q13" s="122" t="s">
        <v>332</v>
      </c>
      <c r="R13" s="115" t="s">
        <v>305</v>
      </c>
    </row>
    <row r="14" spans="1:18" ht="14.4" x14ac:dyDescent="0.25">
      <c r="A14" t="s">
        <v>333</v>
      </c>
      <c r="C14" s="127"/>
      <c r="D14" s="127"/>
      <c r="E14" s="127"/>
      <c r="Q14" s="122" t="s">
        <v>334</v>
      </c>
      <c r="R14" s="115" t="s">
        <v>305</v>
      </c>
    </row>
    <row r="15" spans="1:18" ht="28.8" x14ac:dyDescent="0.25">
      <c r="A15" s="130" t="e">
        <f>IF(E7="PINTADO",VLOOKUP(B7,I3:J11,2,FALSE),IF(E7="NEGRO",VLOOKUP(B7,BODEGAS!$N$3:$O$11,2,FALSE),976))</f>
        <v>#N/A</v>
      </c>
      <c r="H15" s="127"/>
      <c r="Q15" s="122" t="s">
        <v>335</v>
      </c>
      <c r="R15" s="115" t="s">
        <v>305</v>
      </c>
    </row>
    <row r="16" spans="1:18" ht="14.4" x14ac:dyDescent="0.25">
      <c r="Q16" s="131" t="s">
        <v>336</v>
      </c>
      <c r="R16" s="115" t="s">
        <v>305</v>
      </c>
    </row>
    <row r="17" spans="16:18" ht="28.8" x14ac:dyDescent="0.25">
      <c r="Q17" s="132" t="s">
        <v>337</v>
      </c>
      <c r="R17" s="115" t="s">
        <v>305</v>
      </c>
    </row>
    <row r="20" spans="16:18" x14ac:dyDescent="0.25">
      <c r="P20" s="133" t="e">
        <f ca="1">_xlfn.IFS(AND((C7=11)*(E7="NEGRO")),O3,((C7=11)*(E7="GALVANIZADO")),J3,((C7=11)*(E7="PINTADO")),J3,((C7=12)*(E7="NEGRO")),O4,((C7=12)*(E7="GALVANIZADO")),J4,((C7=12)*(E7="PINTADO")),J4,((C7=16)*(E7="NEGRO")),O5,((C7=16)*(E7="GALVANIZADO")),J5,((C7=16)*(E7="PINTADO")),J5,((C7=14)*(E7="NEGRO")),O6,((C7=14)*(E7="GALVANIZADO")),J6,((C7=14)*(E7="PINTADO")),J6,((C7=17)*(E7="NEGRO")),O8,((C7=17)*(E7="GALVANIZADO")),J8,((C7=17)*(E7="PINTADO")),J8)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55"/>
  <sheetViews>
    <sheetView topLeftCell="A88" workbookViewId="0">
      <selection activeCell="M1" sqref="L1:M1"/>
    </sheetView>
  </sheetViews>
  <sheetFormatPr defaultColWidth="11.5546875" defaultRowHeight="13.2" x14ac:dyDescent="0.25"/>
  <cols>
    <col min="1" max="1" width="7.5546875" customWidth="1"/>
    <col min="2" max="4" width="0" hidden="1" customWidth="1"/>
    <col min="5" max="5" width="40.5546875" customWidth="1"/>
    <col min="6" max="6" width="21.88671875" customWidth="1"/>
    <col min="7" max="7" width="24.6640625" customWidth="1"/>
    <col min="8" max="8" width="24.6640625" style="134" customWidth="1"/>
    <col min="9" max="9" width="54.33203125" customWidth="1"/>
    <col min="12" max="12" width="29" customWidth="1"/>
    <col min="14" max="14" width="16.44140625" customWidth="1"/>
    <col min="15" max="15" width="19.6640625" customWidth="1"/>
  </cols>
  <sheetData>
    <row r="1" spans="1:15" ht="35.4" thickBot="1" x14ac:dyDescent="0.35">
      <c r="A1" s="135" t="s">
        <v>338</v>
      </c>
      <c r="B1" s="136" t="s">
        <v>339</v>
      </c>
      <c r="C1" s="136" t="s">
        <v>340</v>
      </c>
      <c r="D1" s="136" t="s">
        <v>160</v>
      </c>
      <c r="E1" s="137" t="s">
        <v>341</v>
      </c>
      <c r="F1" s="137" t="s">
        <v>342</v>
      </c>
      <c r="G1" s="138" t="s">
        <v>343</v>
      </c>
      <c r="H1" s="138" t="s">
        <v>44</v>
      </c>
      <c r="I1" s="138" t="s">
        <v>344</v>
      </c>
      <c r="J1" s="139"/>
      <c r="L1" s="140"/>
      <c r="M1" s="141"/>
      <c r="N1" s="142" t="s">
        <v>345</v>
      </c>
      <c r="O1" s="142" t="s">
        <v>44</v>
      </c>
    </row>
    <row r="2" spans="1:15" x14ac:dyDescent="0.25">
      <c r="A2" s="143">
        <v>1</v>
      </c>
      <c r="B2" s="144" t="s">
        <v>346</v>
      </c>
      <c r="C2" s="145" t="s">
        <v>347</v>
      </c>
      <c r="D2" s="146"/>
      <c r="E2" s="145" t="s">
        <v>347</v>
      </c>
      <c r="F2" s="147"/>
      <c r="G2" s="148" t="s">
        <v>348</v>
      </c>
      <c r="H2" s="134">
        <v>2000</v>
      </c>
      <c r="I2" s="149" t="s">
        <v>348</v>
      </c>
      <c r="J2" s="150">
        <v>1</v>
      </c>
      <c r="L2" s="151" t="s">
        <v>349</v>
      </c>
      <c r="M2" s="151"/>
      <c r="N2" s="151" t="s">
        <v>350</v>
      </c>
      <c r="O2" s="151">
        <v>180</v>
      </c>
    </row>
    <row r="3" spans="1:15" x14ac:dyDescent="0.25">
      <c r="A3" s="152">
        <f>A2+1</f>
        <v>2</v>
      </c>
      <c r="B3" s="144" t="s">
        <v>346</v>
      </c>
      <c r="C3" s="144" t="s">
        <v>347</v>
      </c>
      <c r="D3" s="153" t="s">
        <v>351</v>
      </c>
      <c r="E3" s="154" t="s">
        <v>352</v>
      </c>
      <c r="F3" s="154"/>
      <c r="G3" s="155" t="s">
        <v>353</v>
      </c>
      <c r="H3" s="134">
        <v>2010</v>
      </c>
      <c r="I3" s="156" t="s">
        <v>354</v>
      </c>
      <c r="J3" s="150">
        <v>2</v>
      </c>
      <c r="L3" s="151" t="s">
        <v>349</v>
      </c>
      <c r="M3" s="151"/>
      <c r="N3" s="151" t="s">
        <v>355</v>
      </c>
      <c r="O3" s="151">
        <v>186</v>
      </c>
    </row>
    <row r="4" spans="1:15" x14ac:dyDescent="0.25">
      <c r="A4" s="152">
        <f t="shared" ref="A4:A20" si="0">A3+1</f>
        <v>3</v>
      </c>
      <c r="B4" s="144" t="s">
        <v>346</v>
      </c>
      <c r="C4" s="144" t="s">
        <v>347</v>
      </c>
      <c r="D4" s="153" t="s">
        <v>356</v>
      </c>
      <c r="E4" s="154" t="s">
        <v>357</v>
      </c>
      <c r="F4" s="154"/>
      <c r="G4" s="155" t="s">
        <v>358</v>
      </c>
      <c r="H4" s="134">
        <v>2033</v>
      </c>
      <c r="I4" s="156" t="s">
        <v>359</v>
      </c>
      <c r="J4" s="150">
        <v>3</v>
      </c>
      <c r="L4" s="151" t="s">
        <v>349</v>
      </c>
      <c r="M4" s="151"/>
      <c r="N4" s="151" t="s">
        <v>360</v>
      </c>
      <c r="O4" s="151">
        <v>180</v>
      </c>
    </row>
    <row r="5" spans="1:15" x14ac:dyDescent="0.25">
      <c r="A5" s="152">
        <f t="shared" si="0"/>
        <v>4</v>
      </c>
      <c r="B5" s="144" t="s">
        <v>346</v>
      </c>
      <c r="C5" s="144" t="s">
        <v>347</v>
      </c>
      <c r="D5" s="157" t="s">
        <v>361</v>
      </c>
      <c r="E5" s="154" t="s">
        <v>362</v>
      </c>
      <c r="F5" s="154"/>
      <c r="G5" s="155" t="s">
        <v>363</v>
      </c>
      <c r="H5" s="134">
        <v>2065</v>
      </c>
      <c r="I5" s="156" t="s">
        <v>364</v>
      </c>
      <c r="J5" s="150">
        <v>4</v>
      </c>
      <c r="L5" s="151" t="s">
        <v>349</v>
      </c>
      <c r="M5" s="151"/>
      <c r="N5" s="151" t="s">
        <v>365</v>
      </c>
      <c r="O5" s="151">
        <v>180</v>
      </c>
    </row>
    <row r="6" spans="1:15" ht="26.4" x14ac:dyDescent="0.25">
      <c r="A6" s="152">
        <f t="shared" si="0"/>
        <v>5</v>
      </c>
      <c r="B6" s="144"/>
      <c r="C6" s="144"/>
      <c r="D6" s="157"/>
      <c r="E6" s="158" t="s">
        <v>366</v>
      </c>
      <c r="F6" s="154"/>
      <c r="G6" s="155" t="s">
        <v>366</v>
      </c>
      <c r="H6" s="134">
        <v>2000</v>
      </c>
      <c r="I6" s="156" t="s">
        <v>367</v>
      </c>
      <c r="J6" s="150">
        <v>5</v>
      </c>
      <c r="L6" s="151" t="s">
        <v>349</v>
      </c>
      <c r="M6" s="151"/>
      <c r="N6" s="151" t="s">
        <v>368</v>
      </c>
      <c r="O6" s="151">
        <v>180</v>
      </c>
    </row>
    <row r="7" spans="1:15" x14ac:dyDescent="0.25">
      <c r="A7" s="152">
        <f t="shared" si="0"/>
        <v>6</v>
      </c>
      <c r="B7" s="159" t="s">
        <v>346</v>
      </c>
      <c r="C7" s="159" t="s">
        <v>369</v>
      </c>
      <c r="D7" s="160"/>
      <c r="E7" s="159" t="s">
        <v>370</v>
      </c>
      <c r="F7" s="161"/>
      <c r="G7" s="162" t="s">
        <v>371</v>
      </c>
      <c r="H7" s="134">
        <v>2000</v>
      </c>
      <c r="I7" s="163" t="s">
        <v>372</v>
      </c>
      <c r="J7" s="150">
        <v>6</v>
      </c>
      <c r="L7" s="151" t="s">
        <v>349</v>
      </c>
      <c r="M7" s="151"/>
      <c r="N7" s="151" t="s">
        <v>373</v>
      </c>
      <c r="O7" s="151">
        <v>180</v>
      </c>
    </row>
    <row r="8" spans="1:15" x14ac:dyDescent="0.25">
      <c r="A8" s="152">
        <f t="shared" si="0"/>
        <v>7</v>
      </c>
      <c r="B8" s="159"/>
      <c r="C8" s="159"/>
      <c r="D8" s="153"/>
      <c r="E8" s="159" t="s">
        <v>374</v>
      </c>
      <c r="F8" s="161"/>
      <c r="G8" s="162" t="s">
        <v>375</v>
      </c>
      <c r="H8" s="134">
        <v>2000</v>
      </c>
      <c r="I8" s="163" t="s">
        <v>376</v>
      </c>
      <c r="J8" s="150">
        <v>7</v>
      </c>
      <c r="L8" s="151" t="s">
        <v>349</v>
      </c>
      <c r="M8" s="151"/>
      <c r="N8" s="151" t="s">
        <v>377</v>
      </c>
      <c r="O8" s="151">
        <v>186</v>
      </c>
    </row>
    <row r="9" spans="1:15" x14ac:dyDescent="0.25">
      <c r="A9" s="152">
        <f t="shared" si="0"/>
        <v>8</v>
      </c>
      <c r="B9" s="159"/>
      <c r="C9" s="159"/>
      <c r="D9" s="153"/>
      <c r="E9" s="164" t="s">
        <v>378</v>
      </c>
      <c r="F9" s="161"/>
      <c r="G9" s="162" t="s">
        <v>379</v>
      </c>
      <c r="H9" s="134">
        <v>2010</v>
      </c>
      <c r="I9" s="163" t="s">
        <v>380</v>
      </c>
      <c r="J9" s="150">
        <v>8</v>
      </c>
      <c r="L9" s="151" t="s">
        <v>349</v>
      </c>
      <c r="M9" s="151"/>
      <c r="N9" s="151" t="s">
        <v>381</v>
      </c>
      <c r="O9" s="151">
        <v>180</v>
      </c>
    </row>
    <row r="10" spans="1:15" x14ac:dyDescent="0.25">
      <c r="A10" s="152">
        <f t="shared" si="0"/>
        <v>9</v>
      </c>
      <c r="B10" s="159" t="s">
        <v>346</v>
      </c>
      <c r="C10" s="159" t="s">
        <v>369</v>
      </c>
      <c r="D10" s="153" t="s">
        <v>351</v>
      </c>
      <c r="E10" s="159" t="s">
        <v>382</v>
      </c>
      <c r="F10" s="161"/>
      <c r="G10" s="162" t="s">
        <v>383</v>
      </c>
      <c r="H10" s="134">
        <v>2010</v>
      </c>
      <c r="I10" s="163" t="s">
        <v>384</v>
      </c>
      <c r="J10" s="150">
        <v>9</v>
      </c>
      <c r="L10" s="151" t="s">
        <v>349</v>
      </c>
      <c r="M10" s="151"/>
      <c r="N10" s="151" t="s">
        <v>385</v>
      </c>
      <c r="O10" s="151">
        <v>180</v>
      </c>
    </row>
    <row r="11" spans="1:15" x14ac:dyDescent="0.25">
      <c r="A11" s="152">
        <f t="shared" si="0"/>
        <v>10</v>
      </c>
      <c r="B11" s="159"/>
      <c r="C11" s="159"/>
      <c r="D11" s="153"/>
      <c r="E11" s="159" t="s">
        <v>386</v>
      </c>
      <c r="F11" s="161"/>
      <c r="G11" s="162" t="s">
        <v>387</v>
      </c>
      <c r="H11" s="134">
        <v>2010</v>
      </c>
      <c r="I11" s="163" t="s">
        <v>388</v>
      </c>
      <c r="J11" s="150">
        <v>10</v>
      </c>
      <c r="L11" s="151" t="s">
        <v>349</v>
      </c>
      <c r="M11" s="151"/>
      <c r="N11" s="151" t="s">
        <v>389</v>
      </c>
      <c r="O11" s="151">
        <v>180</v>
      </c>
    </row>
    <row r="12" spans="1:15" x14ac:dyDescent="0.25">
      <c r="A12" s="152">
        <f t="shared" si="0"/>
        <v>11</v>
      </c>
      <c r="B12" s="159"/>
      <c r="C12" s="159"/>
      <c r="D12" s="153"/>
      <c r="E12" s="164" t="s">
        <v>390</v>
      </c>
      <c r="F12" s="161"/>
      <c r="G12" s="165" t="s">
        <v>391</v>
      </c>
      <c r="H12" s="134">
        <v>2033</v>
      </c>
      <c r="I12" s="163" t="s">
        <v>392</v>
      </c>
      <c r="J12" s="150">
        <v>11</v>
      </c>
      <c r="L12" s="151" t="s">
        <v>349</v>
      </c>
      <c r="M12" s="151"/>
      <c r="N12" s="151" t="s">
        <v>393</v>
      </c>
      <c r="O12" s="151">
        <v>186</v>
      </c>
    </row>
    <row r="13" spans="1:15" ht="26.4" x14ac:dyDescent="0.25">
      <c r="A13" s="152">
        <f t="shared" si="0"/>
        <v>12</v>
      </c>
      <c r="B13" s="159"/>
      <c r="C13" s="159"/>
      <c r="D13" s="153"/>
      <c r="E13" s="159" t="s">
        <v>394</v>
      </c>
      <c r="F13" s="161"/>
      <c r="G13" s="162" t="s">
        <v>395</v>
      </c>
      <c r="H13" s="134">
        <v>2033</v>
      </c>
      <c r="I13" s="163" t="s">
        <v>396</v>
      </c>
      <c r="J13" s="150">
        <v>12</v>
      </c>
      <c r="L13" s="151" t="s">
        <v>349</v>
      </c>
      <c r="M13" s="151"/>
      <c r="N13" s="151" t="s">
        <v>397</v>
      </c>
      <c r="O13" s="151">
        <v>180</v>
      </c>
    </row>
    <row r="14" spans="1:15" x14ac:dyDescent="0.25">
      <c r="A14" s="152">
        <f t="shared" si="0"/>
        <v>13</v>
      </c>
      <c r="B14" s="159" t="s">
        <v>346</v>
      </c>
      <c r="C14" s="159" t="s">
        <v>369</v>
      </c>
      <c r="D14" s="153" t="s">
        <v>356</v>
      </c>
      <c r="E14" s="159" t="s">
        <v>398</v>
      </c>
      <c r="F14" s="161"/>
      <c r="G14" s="162" t="s">
        <v>399</v>
      </c>
      <c r="H14" s="134">
        <v>2033</v>
      </c>
      <c r="I14" s="163" t="s">
        <v>400</v>
      </c>
      <c r="J14" s="150">
        <v>13</v>
      </c>
      <c r="L14" s="151" t="s">
        <v>349</v>
      </c>
      <c r="M14" s="151"/>
      <c r="N14" s="151" t="s">
        <v>401</v>
      </c>
      <c r="O14" s="151">
        <v>180</v>
      </c>
    </row>
    <row r="15" spans="1:15" x14ac:dyDescent="0.25">
      <c r="A15" s="152">
        <f t="shared" si="0"/>
        <v>14</v>
      </c>
      <c r="B15" s="159"/>
      <c r="C15" s="159"/>
      <c r="D15" s="157"/>
      <c r="E15" s="164" t="s">
        <v>402</v>
      </c>
      <c r="F15" s="161"/>
      <c r="G15" s="162" t="s">
        <v>403</v>
      </c>
      <c r="H15" s="134">
        <v>2065</v>
      </c>
      <c r="I15" s="163" t="s">
        <v>404</v>
      </c>
      <c r="J15" s="150">
        <v>14</v>
      </c>
      <c r="L15" s="151" t="s">
        <v>349</v>
      </c>
      <c r="M15" s="151"/>
      <c r="N15" s="151" t="s">
        <v>405</v>
      </c>
      <c r="O15" s="151">
        <v>186</v>
      </c>
    </row>
    <row r="16" spans="1:15" ht="26.4" x14ac:dyDescent="0.25">
      <c r="A16" s="152">
        <f t="shared" si="0"/>
        <v>15</v>
      </c>
      <c r="B16" s="159"/>
      <c r="C16" s="159"/>
      <c r="D16" s="157"/>
      <c r="E16" s="159" t="s">
        <v>406</v>
      </c>
      <c r="F16" s="161"/>
      <c r="G16" s="162" t="s">
        <v>407</v>
      </c>
      <c r="H16" s="134">
        <v>2065</v>
      </c>
      <c r="I16" s="163" t="s">
        <v>408</v>
      </c>
      <c r="J16" s="150">
        <v>15</v>
      </c>
      <c r="L16" s="151" t="s">
        <v>349</v>
      </c>
      <c r="M16" s="151"/>
      <c r="N16" s="151" t="s">
        <v>409</v>
      </c>
      <c r="O16" s="151">
        <v>180</v>
      </c>
    </row>
    <row r="17" spans="1:15" x14ac:dyDescent="0.25">
      <c r="A17" s="152">
        <f t="shared" si="0"/>
        <v>16</v>
      </c>
      <c r="B17" s="159" t="s">
        <v>346</v>
      </c>
      <c r="C17" s="159" t="s">
        <v>369</v>
      </c>
      <c r="D17" s="157" t="s">
        <v>361</v>
      </c>
      <c r="E17" s="159" t="s">
        <v>410</v>
      </c>
      <c r="F17" s="161"/>
      <c r="G17" s="162" t="s">
        <v>411</v>
      </c>
      <c r="H17" s="134">
        <v>2065</v>
      </c>
      <c r="I17" s="163" t="s">
        <v>412</v>
      </c>
      <c r="J17" s="150">
        <v>16</v>
      </c>
      <c r="L17" s="151" t="s">
        <v>349</v>
      </c>
      <c r="M17" s="151"/>
      <c r="N17" s="151" t="s">
        <v>413</v>
      </c>
      <c r="O17" s="151">
        <v>180</v>
      </c>
    </row>
    <row r="18" spans="1:15" ht="26.4" x14ac:dyDescent="0.25">
      <c r="A18" s="152">
        <f t="shared" si="0"/>
        <v>17</v>
      </c>
      <c r="B18" s="159" t="s">
        <v>346</v>
      </c>
      <c r="C18" s="159" t="s">
        <v>414</v>
      </c>
      <c r="D18" s="166"/>
      <c r="E18" s="159" t="s">
        <v>414</v>
      </c>
      <c r="F18" s="161"/>
      <c r="G18" s="167" t="s">
        <v>414</v>
      </c>
      <c r="H18" s="134">
        <v>2000</v>
      </c>
      <c r="I18" s="163" t="s">
        <v>415</v>
      </c>
      <c r="J18" s="150">
        <v>17</v>
      </c>
      <c r="L18" s="151" t="s">
        <v>349</v>
      </c>
      <c r="M18" s="151"/>
      <c r="N18" s="151" t="s">
        <v>416</v>
      </c>
      <c r="O18" s="151">
        <v>186</v>
      </c>
    </row>
    <row r="19" spans="1:15" ht="26.4" x14ac:dyDescent="0.25">
      <c r="A19" s="152">
        <f t="shared" si="0"/>
        <v>18</v>
      </c>
      <c r="B19" s="159" t="s">
        <v>346</v>
      </c>
      <c r="C19" s="159" t="s">
        <v>414</v>
      </c>
      <c r="D19" s="166" t="s">
        <v>417</v>
      </c>
      <c r="E19" s="159" t="s">
        <v>418</v>
      </c>
      <c r="F19" s="161"/>
      <c r="G19" s="162" t="s">
        <v>419</v>
      </c>
      <c r="H19" s="134">
        <v>2020</v>
      </c>
      <c r="I19" s="163" t="s">
        <v>419</v>
      </c>
      <c r="J19" s="150">
        <v>18</v>
      </c>
      <c r="L19" s="151" t="s">
        <v>349</v>
      </c>
      <c r="M19" s="151"/>
      <c r="N19" s="151" t="s">
        <v>350</v>
      </c>
      <c r="O19" s="151">
        <v>180</v>
      </c>
    </row>
    <row r="20" spans="1:15" ht="26.4" x14ac:dyDescent="0.25">
      <c r="A20" s="152">
        <f t="shared" si="0"/>
        <v>19</v>
      </c>
      <c r="B20" s="159" t="s">
        <v>346</v>
      </c>
      <c r="C20" s="159" t="s">
        <v>420</v>
      </c>
      <c r="D20" s="166"/>
      <c r="E20" s="159" t="s">
        <v>420</v>
      </c>
      <c r="F20" s="161"/>
      <c r="G20" s="162" t="s">
        <v>421</v>
      </c>
      <c r="H20" s="134">
        <v>2000</v>
      </c>
      <c r="I20" s="163" t="s">
        <v>422</v>
      </c>
      <c r="J20" s="150">
        <v>19</v>
      </c>
      <c r="L20" s="151" t="s">
        <v>349</v>
      </c>
      <c r="M20" s="151"/>
      <c r="N20" s="151" t="s">
        <v>355</v>
      </c>
      <c r="O20" s="151">
        <v>186</v>
      </c>
    </row>
    <row r="21" spans="1:15" ht="26.4" x14ac:dyDescent="0.25">
      <c r="A21" s="143">
        <v>21</v>
      </c>
      <c r="B21" s="159" t="s">
        <v>46</v>
      </c>
      <c r="C21" s="159" t="s">
        <v>423</v>
      </c>
      <c r="D21" s="166"/>
      <c r="E21" s="164"/>
      <c r="F21" s="161"/>
      <c r="G21" s="165" t="s">
        <v>424</v>
      </c>
      <c r="H21" s="134">
        <v>2010</v>
      </c>
      <c r="I21" s="163" t="s">
        <v>425</v>
      </c>
      <c r="J21" s="150">
        <v>23</v>
      </c>
      <c r="L21" s="151" t="s">
        <v>349</v>
      </c>
      <c r="M21" s="151"/>
      <c r="N21" s="151" t="s">
        <v>365</v>
      </c>
      <c r="O21" s="151">
        <v>180</v>
      </c>
    </row>
    <row r="22" spans="1:15" ht="26.4" x14ac:dyDescent="0.25">
      <c r="A22" s="168">
        <f>A21+1</f>
        <v>22</v>
      </c>
      <c r="B22" s="159"/>
      <c r="C22" s="159"/>
      <c r="D22" s="166"/>
      <c r="E22" s="164"/>
      <c r="F22" s="161"/>
      <c r="G22" s="162" t="s">
        <v>46</v>
      </c>
      <c r="H22" s="134">
        <v>2000</v>
      </c>
      <c r="I22" s="163" t="s">
        <v>46</v>
      </c>
      <c r="J22" s="150">
        <v>24</v>
      </c>
      <c r="L22" s="151" t="s">
        <v>349</v>
      </c>
      <c r="M22" s="151"/>
      <c r="N22" s="151" t="s">
        <v>368</v>
      </c>
      <c r="O22" s="151">
        <v>180</v>
      </c>
    </row>
    <row r="23" spans="1:15" x14ac:dyDescent="0.25">
      <c r="A23" s="168">
        <f t="shared" ref="A23:A24" si="1">A22+1</f>
        <v>23</v>
      </c>
      <c r="B23" s="159"/>
      <c r="C23" s="159"/>
      <c r="D23" s="166"/>
      <c r="E23" s="164"/>
      <c r="F23" s="161"/>
      <c r="G23" s="165" t="s">
        <v>426</v>
      </c>
      <c r="H23" s="134">
        <v>2050</v>
      </c>
      <c r="I23" s="163" t="s">
        <v>427</v>
      </c>
      <c r="J23" s="150">
        <v>25</v>
      </c>
      <c r="L23" s="151" t="s">
        <v>349</v>
      </c>
      <c r="M23" s="151"/>
      <c r="N23" s="151" t="s">
        <v>428</v>
      </c>
      <c r="O23" s="151">
        <v>186</v>
      </c>
    </row>
    <row r="24" spans="1:15" x14ac:dyDescent="0.25">
      <c r="A24" s="168">
        <f t="shared" si="1"/>
        <v>24</v>
      </c>
      <c r="B24" s="159"/>
      <c r="C24" s="159"/>
      <c r="D24" s="166"/>
      <c r="E24" s="164"/>
      <c r="F24" s="161"/>
      <c r="G24" s="165" t="s">
        <v>429</v>
      </c>
      <c r="H24" s="134">
        <v>2020</v>
      </c>
      <c r="I24" s="163" t="s">
        <v>430</v>
      </c>
      <c r="J24" s="150">
        <v>26</v>
      </c>
      <c r="L24" s="151" t="s">
        <v>349</v>
      </c>
      <c r="M24" s="151"/>
      <c r="N24" s="151" t="s">
        <v>373</v>
      </c>
      <c r="O24" s="151">
        <v>180</v>
      </c>
    </row>
    <row r="25" spans="1:15" x14ac:dyDescent="0.25">
      <c r="A25" s="143">
        <v>25</v>
      </c>
      <c r="B25" s="159" t="s">
        <v>46</v>
      </c>
      <c r="C25" s="159" t="s">
        <v>431</v>
      </c>
      <c r="D25" s="166"/>
      <c r="E25" s="159" t="s">
        <v>431</v>
      </c>
      <c r="F25" s="161"/>
      <c r="G25" s="162" t="s">
        <v>431</v>
      </c>
      <c r="H25" s="134">
        <v>2000</v>
      </c>
      <c r="I25" s="163" t="s">
        <v>431</v>
      </c>
      <c r="J25" s="150">
        <v>28</v>
      </c>
      <c r="L25" s="151" t="s">
        <v>349</v>
      </c>
      <c r="M25" s="151"/>
      <c r="N25" s="151" t="s">
        <v>377</v>
      </c>
      <c r="O25" s="151">
        <v>186</v>
      </c>
    </row>
    <row r="26" spans="1:15" ht="26.4" x14ac:dyDescent="0.25">
      <c r="A26" s="152">
        <f>A25+1</f>
        <v>26</v>
      </c>
      <c r="B26" s="159" t="s">
        <v>46</v>
      </c>
      <c r="C26" s="159" t="s">
        <v>432</v>
      </c>
      <c r="D26" s="166"/>
      <c r="E26" s="159" t="s">
        <v>432</v>
      </c>
      <c r="F26" s="161"/>
      <c r="G26" s="162" t="s">
        <v>110</v>
      </c>
      <c r="H26" s="134">
        <v>2000</v>
      </c>
      <c r="I26" s="163" t="s">
        <v>110</v>
      </c>
      <c r="J26" s="150">
        <v>29</v>
      </c>
      <c r="L26" s="151" t="s">
        <v>349</v>
      </c>
      <c r="M26" s="151"/>
      <c r="N26" s="151" t="s">
        <v>381</v>
      </c>
      <c r="O26" s="151">
        <v>180</v>
      </c>
    </row>
    <row r="27" spans="1:15" ht="26.4" x14ac:dyDescent="0.25">
      <c r="A27" s="143">
        <v>27</v>
      </c>
      <c r="B27" s="159"/>
      <c r="C27" s="159" t="s">
        <v>433</v>
      </c>
      <c r="D27" s="166" t="s">
        <v>434</v>
      </c>
      <c r="E27" s="159" t="s">
        <v>435</v>
      </c>
      <c r="F27" s="161"/>
      <c r="G27" s="165" t="s">
        <v>436</v>
      </c>
      <c r="H27" s="134">
        <v>2010</v>
      </c>
      <c r="I27" s="163" t="s">
        <v>437</v>
      </c>
      <c r="J27" s="150">
        <v>31</v>
      </c>
      <c r="L27" s="151" t="s">
        <v>349</v>
      </c>
      <c r="M27" s="151"/>
      <c r="N27" s="151" t="s">
        <v>385</v>
      </c>
      <c r="O27" s="151">
        <v>180</v>
      </c>
    </row>
    <row r="28" spans="1:15" ht="26.4" x14ac:dyDescent="0.25">
      <c r="A28" s="143">
        <v>28</v>
      </c>
      <c r="B28" s="159"/>
      <c r="C28" s="159"/>
      <c r="D28" s="166"/>
      <c r="E28" s="159" t="s">
        <v>438</v>
      </c>
      <c r="F28" s="161"/>
      <c r="G28" s="165" t="s">
        <v>439</v>
      </c>
      <c r="H28" s="134">
        <v>2010</v>
      </c>
      <c r="I28" s="163" t="s">
        <v>440</v>
      </c>
      <c r="J28" s="150">
        <v>34</v>
      </c>
      <c r="L28" s="151" t="s">
        <v>349</v>
      </c>
      <c r="M28" s="151"/>
      <c r="N28" s="151" t="s">
        <v>441</v>
      </c>
      <c r="O28" s="151">
        <v>186</v>
      </c>
    </row>
    <row r="29" spans="1:15" x14ac:dyDescent="0.25">
      <c r="A29" s="152">
        <f>A28+1</f>
        <v>29</v>
      </c>
      <c r="B29" s="159"/>
      <c r="C29" s="159"/>
      <c r="D29" s="166"/>
      <c r="E29" s="159" t="s">
        <v>442</v>
      </c>
      <c r="F29" s="161"/>
      <c r="G29" s="162" t="s">
        <v>443</v>
      </c>
      <c r="H29" s="134">
        <v>2000</v>
      </c>
      <c r="I29" s="163" t="s">
        <v>444</v>
      </c>
      <c r="J29" s="150">
        <v>35</v>
      </c>
      <c r="L29" s="151" t="s">
        <v>349</v>
      </c>
      <c r="M29" s="151"/>
      <c r="N29" s="151" t="s">
        <v>389</v>
      </c>
      <c r="O29" s="151">
        <v>180</v>
      </c>
    </row>
    <row r="30" spans="1:15" x14ac:dyDescent="0.25">
      <c r="A30" s="152">
        <f t="shared" ref="A30:A64" si="2">A29+1</f>
        <v>30</v>
      </c>
      <c r="B30" s="159"/>
      <c r="C30" s="159"/>
      <c r="D30" s="166"/>
      <c r="E30" s="159" t="s">
        <v>442</v>
      </c>
      <c r="F30" s="161"/>
      <c r="G30" s="162" t="s">
        <v>445</v>
      </c>
      <c r="H30" s="134">
        <v>2050</v>
      </c>
      <c r="I30" s="163" t="s">
        <v>446</v>
      </c>
      <c r="J30" s="150">
        <v>36</v>
      </c>
      <c r="L30" s="151" t="s">
        <v>349</v>
      </c>
      <c r="M30" s="151"/>
      <c r="N30" s="151" t="s">
        <v>393</v>
      </c>
      <c r="O30" s="151">
        <v>186</v>
      </c>
    </row>
    <row r="31" spans="1:15" ht="26.4" x14ac:dyDescent="0.25">
      <c r="A31" s="152">
        <f t="shared" si="2"/>
        <v>31</v>
      </c>
      <c r="B31" s="159"/>
      <c r="C31" s="159"/>
      <c r="D31" s="166"/>
      <c r="E31" s="159" t="s">
        <v>442</v>
      </c>
      <c r="F31" s="161"/>
      <c r="G31" s="162" t="s">
        <v>447</v>
      </c>
      <c r="H31" s="134">
        <v>2050</v>
      </c>
      <c r="I31" s="163" t="s">
        <v>448</v>
      </c>
      <c r="J31" s="150">
        <v>37</v>
      </c>
      <c r="L31" s="151" t="s">
        <v>349</v>
      </c>
      <c r="M31" s="151"/>
      <c r="N31" s="151" t="s">
        <v>397</v>
      </c>
      <c r="O31" s="151">
        <v>180</v>
      </c>
    </row>
    <row r="32" spans="1:15" x14ac:dyDescent="0.25">
      <c r="A32" s="152">
        <f t="shared" si="2"/>
        <v>32</v>
      </c>
      <c r="B32" s="159"/>
      <c r="C32" s="159"/>
      <c r="D32" s="166"/>
      <c r="E32" s="159" t="s">
        <v>442</v>
      </c>
      <c r="F32" s="161"/>
      <c r="G32" s="162" t="s">
        <v>449</v>
      </c>
      <c r="H32" s="134">
        <v>2050</v>
      </c>
      <c r="I32" s="163" t="s">
        <v>450</v>
      </c>
      <c r="J32" s="150">
        <v>38</v>
      </c>
      <c r="L32" s="151" t="s">
        <v>349</v>
      </c>
      <c r="M32" s="151"/>
      <c r="N32" s="151" t="s">
        <v>451</v>
      </c>
      <c r="O32" s="151">
        <v>186</v>
      </c>
    </row>
    <row r="33" spans="1:15" x14ac:dyDescent="0.25">
      <c r="A33" s="152">
        <f t="shared" si="2"/>
        <v>33</v>
      </c>
      <c r="B33" s="159"/>
      <c r="C33" s="159"/>
      <c r="D33" s="166"/>
      <c r="E33" s="159" t="s">
        <v>442</v>
      </c>
      <c r="F33" s="161"/>
      <c r="G33" s="162" t="s">
        <v>452</v>
      </c>
      <c r="H33" s="134">
        <v>2010</v>
      </c>
      <c r="I33" s="163" t="s">
        <v>453</v>
      </c>
      <c r="J33" s="150">
        <v>39</v>
      </c>
      <c r="L33" s="151" t="s">
        <v>349</v>
      </c>
      <c r="M33" s="151"/>
      <c r="N33" s="151" t="s">
        <v>401</v>
      </c>
      <c r="O33" s="151">
        <v>180</v>
      </c>
    </row>
    <row r="34" spans="1:15" x14ac:dyDescent="0.25">
      <c r="A34" s="152">
        <f t="shared" si="2"/>
        <v>34</v>
      </c>
      <c r="B34" s="159" t="s">
        <v>454</v>
      </c>
      <c r="C34" s="159" t="s">
        <v>455</v>
      </c>
      <c r="D34" s="166"/>
      <c r="E34" s="159" t="s">
        <v>455</v>
      </c>
      <c r="F34" s="161"/>
      <c r="G34" s="162" t="s">
        <v>456</v>
      </c>
      <c r="H34" s="134">
        <v>2000</v>
      </c>
      <c r="I34" s="163" t="s">
        <v>457</v>
      </c>
      <c r="J34" s="150">
        <v>40</v>
      </c>
      <c r="L34" s="151" t="s">
        <v>349</v>
      </c>
      <c r="M34" s="151"/>
      <c r="N34" s="151" t="s">
        <v>405</v>
      </c>
      <c r="O34" s="151">
        <v>186</v>
      </c>
    </row>
    <row r="35" spans="1:15" ht="26.4" x14ac:dyDescent="0.25">
      <c r="A35" s="152">
        <f t="shared" si="2"/>
        <v>35</v>
      </c>
      <c r="B35" s="159" t="s">
        <v>454</v>
      </c>
      <c r="C35" s="159" t="s">
        <v>455</v>
      </c>
      <c r="D35" s="166" t="s">
        <v>458</v>
      </c>
      <c r="E35" s="159" t="s">
        <v>459</v>
      </c>
      <c r="F35" s="161"/>
      <c r="G35" s="165" t="s">
        <v>460</v>
      </c>
      <c r="H35" s="134">
        <v>2010</v>
      </c>
      <c r="I35" s="163" t="s">
        <v>461</v>
      </c>
      <c r="J35" s="150">
        <v>41</v>
      </c>
      <c r="L35" s="151" t="s">
        <v>349</v>
      </c>
      <c r="M35" s="151"/>
      <c r="N35" s="151" t="s">
        <v>462</v>
      </c>
      <c r="O35" s="151">
        <v>180</v>
      </c>
    </row>
    <row r="36" spans="1:15" x14ac:dyDescent="0.25">
      <c r="A36" s="152">
        <f t="shared" si="2"/>
        <v>36</v>
      </c>
      <c r="B36" s="159" t="s">
        <v>454</v>
      </c>
      <c r="C36" s="159" t="s">
        <v>463</v>
      </c>
      <c r="D36" s="166"/>
      <c r="E36" s="159" t="s">
        <v>463</v>
      </c>
      <c r="F36" s="161"/>
      <c r="G36" s="162" t="s">
        <v>463</v>
      </c>
      <c r="H36" s="134">
        <v>2000</v>
      </c>
      <c r="I36" s="163" t="s">
        <v>464</v>
      </c>
      <c r="J36" s="150">
        <v>42</v>
      </c>
      <c r="L36" s="151" t="s">
        <v>349</v>
      </c>
      <c r="M36" s="151"/>
      <c r="N36" s="151" t="s">
        <v>413</v>
      </c>
      <c r="O36" s="151">
        <v>180</v>
      </c>
    </row>
    <row r="37" spans="1:15" x14ac:dyDescent="0.25">
      <c r="A37" s="152">
        <f t="shared" si="2"/>
        <v>37</v>
      </c>
      <c r="B37" s="159" t="s">
        <v>454</v>
      </c>
      <c r="C37" s="159" t="s">
        <v>463</v>
      </c>
      <c r="D37" s="166" t="s">
        <v>458</v>
      </c>
      <c r="E37" s="159" t="s">
        <v>465</v>
      </c>
      <c r="F37" s="161"/>
      <c r="G37" s="162" t="s">
        <v>466</v>
      </c>
      <c r="H37" s="134">
        <v>2010</v>
      </c>
      <c r="I37" s="163" t="s">
        <v>467</v>
      </c>
      <c r="J37" s="150">
        <v>43</v>
      </c>
      <c r="L37" s="151" t="s">
        <v>349</v>
      </c>
      <c r="M37" s="151"/>
      <c r="N37" s="151" t="s">
        <v>416</v>
      </c>
      <c r="O37" s="151">
        <v>186</v>
      </c>
    </row>
    <row r="38" spans="1:15" x14ac:dyDescent="0.25">
      <c r="A38" s="152">
        <f t="shared" si="2"/>
        <v>38</v>
      </c>
      <c r="B38" s="159" t="s">
        <v>454</v>
      </c>
      <c r="C38" s="159" t="s">
        <v>468</v>
      </c>
      <c r="D38" s="166"/>
      <c r="E38" s="159" t="s">
        <v>468</v>
      </c>
      <c r="F38" s="161"/>
      <c r="G38" s="162" t="s">
        <v>468</v>
      </c>
      <c r="H38" s="134">
        <v>2010</v>
      </c>
      <c r="I38" s="163" t="s">
        <v>469</v>
      </c>
      <c r="J38" s="150">
        <v>44</v>
      </c>
      <c r="L38" s="151" t="s">
        <v>349</v>
      </c>
      <c r="M38" s="151"/>
      <c r="N38" s="151" t="s">
        <v>350</v>
      </c>
      <c r="O38" s="151">
        <v>180</v>
      </c>
    </row>
    <row r="39" spans="1:15" x14ac:dyDescent="0.25">
      <c r="A39" s="152">
        <f t="shared" si="2"/>
        <v>39</v>
      </c>
      <c r="B39" s="159" t="s">
        <v>454</v>
      </c>
      <c r="C39" s="159" t="s">
        <v>468</v>
      </c>
      <c r="D39" s="166" t="s">
        <v>458</v>
      </c>
      <c r="E39" s="159" t="s">
        <v>470</v>
      </c>
      <c r="F39" s="161"/>
      <c r="G39" s="162" t="s">
        <v>471</v>
      </c>
      <c r="H39" s="134">
        <v>2010</v>
      </c>
      <c r="I39" s="163" t="s">
        <v>472</v>
      </c>
      <c r="J39" s="150">
        <v>45</v>
      </c>
      <c r="L39" s="151" t="s">
        <v>349</v>
      </c>
      <c r="M39" s="151"/>
      <c r="N39" s="151" t="s">
        <v>355</v>
      </c>
      <c r="O39" s="151">
        <v>186</v>
      </c>
    </row>
    <row r="40" spans="1:15" ht="26.4" x14ac:dyDescent="0.25">
      <c r="A40" s="152">
        <f t="shared" si="2"/>
        <v>40</v>
      </c>
      <c r="B40" s="159" t="s">
        <v>454</v>
      </c>
      <c r="C40" s="159" t="s">
        <v>473</v>
      </c>
      <c r="D40" s="166"/>
      <c r="E40" s="159" t="s">
        <v>473</v>
      </c>
      <c r="F40" s="161"/>
      <c r="G40" s="162" t="s">
        <v>474</v>
      </c>
      <c r="H40" s="134">
        <v>2000</v>
      </c>
      <c r="I40" s="163" t="s">
        <v>475</v>
      </c>
      <c r="J40" s="150">
        <v>46</v>
      </c>
      <c r="L40" s="151" t="s">
        <v>349</v>
      </c>
      <c r="M40" s="151"/>
      <c r="N40" s="151" t="s">
        <v>365</v>
      </c>
      <c r="O40" s="151">
        <v>180</v>
      </c>
    </row>
    <row r="41" spans="1:15" ht="26.4" x14ac:dyDescent="0.25">
      <c r="A41" s="152">
        <f t="shared" si="2"/>
        <v>41</v>
      </c>
      <c r="B41" s="159" t="s">
        <v>454</v>
      </c>
      <c r="C41" s="159" t="s">
        <v>473</v>
      </c>
      <c r="D41" s="166" t="s">
        <v>458</v>
      </c>
      <c r="E41" s="159" t="s">
        <v>476</v>
      </c>
      <c r="F41" s="161"/>
      <c r="G41" s="162" t="s">
        <v>477</v>
      </c>
      <c r="H41" s="134">
        <v>2010</v>
      </c>
      <c r="I41" s="163" t="s">
        <v>478</v>
      </c>
      <c r="J41" s="150">
        <v>47</v>
      </c>
      <c r="L41" s="151" t="s">
        <v>349</v>
      </c>
      <c r="M41" s="151"/>
      <c r="N41" s="151" t="s">
        <v>368</v>
      </c>
      <c r="O41" s="151">
        <v>180</v>
      </c>
    </row>
    <row r="42" spans="1:15" x14ac:dyDescent="0.25">
      <c r="A42" s="152">
        <f t="shared" si="2"/>
        <v>42</v>
      </c>
      <c r="B42" s="159"/>
      <c r="C42" s="159"/>
      <c r="D42" s="166"/>
      <c r="E42" s="159" t="s">
        <v>479</v>
      </c>
      <c r="F42" s="161"/>
      <c r="G42" s="162" t="s">
        <v>480</v>
      </c>
      <c r="H42" s="134">
        <v>2060</v>
      </c>
      <c r="I42" s="163" t="s">
        <v>481</v>
      </c>
      <c r="J42" s="150">
        <v>48</v>
      </c>
      <c r="L42" s="151" t="s">
        <v>349</v>
      </c>
      <c r="M42" s="151"/>
      <c r="N42" s="151" t="s">
        <v>428</v>
      </c>
      <c r="O42" s="151">
        <v>186</v>
      </c>
    </row>
    <row r="43" spans="1:15" ht="26.4" x14ac:dyDescent="0.25">
      <c r="A43" s="152">
        <f t="shared" si="2"/>
        <v>43</v>
      </c>
      <c r="B43" s="159" t="s">
        <v>454</v>
      </c>
      <c r="C43" s="159" t="s">
        <v>473</v>
      </c>
      <c r="D43" s="166" t="s">
        <v>482</v>
      </c>
      <c r="E43" s="159" t="s">
        <v>479</v>
      </c>
      <c r="F43" s="161"/>
      <c r="G43" s="162" t="s">
        <v>483</v>
      </c>
      <c r="H43" s="134">
        <v>2030</v>
      </c>
      <c r="I43" s="163" t="s">
        <v>484</v>
      </c>
      <c r="J43" s="150">
        <v>49</v>
      </c>
      <c r="L43" s="151" t="s">
        <v>349</v>
      </c>
      <c r="M43" s="151"/>
      <c r="N43" s="151" t="s">
        <v>373</v>
      </c>
      <c r="O43" s="151">
        <v>180</v>
      </c>
    </row>
    <row r="44" spans="1:15" x14ac:dyDescent="0.25">
      <c r="A44" s="152">
        <f t="shared" si="2"/>
        <v>44</v>
      </c>
      <c r="B44" s="159" t="s">
        <v>454</v>
      </c>
      <c r="C44" s="159" t="s">
        <v>485</v>
      </c>
      <c r="D44" s="166"/>
      <c r="E44" s="159" t="s">
        <v>485</v>
      </c>
      <c r="F44" s="161"/>
      <c r="G44" s="162" t="s">
        <v>485</v>
      </c>
      <c r="H44" s="134">
        <v>2000</v>
      </c>
      <c r="I44" s="163" t="s">
        <v>486</v>
      </c>
      <c r="J44" s="150">
        <v>50</v>
      </c>
      <c r="L44" s="151" t="s">
        <v>349</v>
      </c>
      <c r="M44" s="151"/>
      <c r="N44" s="151" t="s">
        <v>377</v>
      </c>
      <c r="O44" s="151">
        <v>186</v>
      </c>
    </row>
    <row r="45" spans="1:15" x14ac:dyDescent="0.25">
      <c r="A45" s="152">
        <f t="shared" si="2"/>
        <v>45</v>
      </c>
      <c r="B45" s="159" t="s">
        <v>454</v>
      </c>
      <c r="C45" s="159" t="s">
        <v>485</v>
      </c>
      <c r="D45" s="166" t="s">
        <v>458</v>
      </c>
      <c r="E45" s="159" t="s">
        <v>487</v>
      </c>
      <c r="F45" s="161"/>
      <c r="G45" s="162" t="s">
        <v>488</v>
      </c>
      <c r="H45" s="134">
        <v>2010</v>
      </c>
      <c r="I45" s="163" t="s">
        <v>489</v>
      </c>
      <c r="J45" s="150">
        <v>51</v>
      </c>
      <c r="L45" s="151" t="s">
        <v>349</v>
      </c>
      <c r="M45" s="151"/>
      <c r="N45" s="151" t="s">
        <v>381</v>
      </c>
      <c r="O45" s="151">
        <v>180</v>
      </c>
    </row>
    <row r="46" spans="1:15" x14ac:dyDescent="0.25">
      <c r="A46" s="152">
        <f t="shared" si="2"/>
        <v>46</v>
      </c>
      <c r="B46" s="159" t="s">
        <v>454</v>
      </c>
      <c r="C46" s="159" t="s">
        <v>485</v>
      </c>
      <c r="D46" s="166" t="s">
        <v>482</v>
      </c>
      <c r="E46" s="159" t="s">
        <v>490</v>
      </c>
      <c r="F46" s="161"/>
      <c r="G46" s="162" t="s">
        <v>491</v>
      </c>
      <c r="H46" s="134">
        <v>2060</v>
      </c>
      <c r="I46" s="163" t="s">
        <v>492</v>
      </c>
      <c r="J46" s="150">
        <v>52</v>
      </c>
      <c r="L46" s="151" t="s">
        <v>349</v>
      </c>
      <c r="M46" s="151"/>
      <c r="N46" s="151" t="s">
        <v>385</v>
      </c>
      <c r="O46" s="151">
        <v>180</v>
      </c>
    </row>
    <row r="47" spans="1:15" ht="26.4" x14ac:dyDescent="0.25">
      <c r="A47" s="152">
        <f t="shared" si="2"/>
        <v>47</v>
      </c>
      <c r="B47" s="159" t="s">
        <v>454</v>
      </c>
      <c r="C47" s="159" t="s">
        <v>485</v>
      </c>
      <c r="D47" s="166" t="s">
        <v>482</v>
      </c>
      <c r="E47" s="159" t="s">
        <v>490</v>
      </c>
      <c r="F47" s="161"/>
      <c r="G47" s="162" t="s">
        <v>493</v>
      </c>
      <c r="H47" s="134">
        <v>2030</v>
      </c>
      <c r="I47" s="163" t="s">
        <v>494</v>
      </c>
      <c r="J47" s="150">
        <v>53</v>
      </c>
      <c r="L47" s="151" t="s">
        <v>349</v>
      </c>
      <c r="M47" s="151"/>
      <c r="N47" s="151" t="s">
        <v>441</v>
      </c>
      <c r="O47" s="151">
        <v>186</v>
      </c>
    </row>
    <row r="48" spans="1:15" x14ac:dyDescent="0.25">
      <c r="A48" s="152">
        <f t="shared" si="2"/>
        <v>48</v>
      </c>
      <c r="B48" s="159" t="s">
        <v>454</v>
      </c>
      <c r="C48" s="159" t="s">
        <v>495</v>
      </c>
      <c r="D48" s="166"/>
      <c r="E48" s="159" t="s">
        <v>495</v>
      </c>
      <c r="F48" s="161"/>
      <c r="G48" s="162" t="s">
        <v>496</v>
      </c>
      <c r="H48" s="134">
        <v>2000</v>
      </c>
      <c r="I48" s="163" t="s">
        <v>497</v>
      </c>
      <c r="J48" s="150">
        <v>54</v>
      </c>
      <c r="L48" s="151" t="s">
        <v>349</v>
      </c>
      <c r="M48" s="151"/>
      <c r="N48" s="151" t="s">
        <v>389</v>
      </c>
      <c r="O48" s="151">
        <v>180</v>
      </c>
    </row>
    <row r="49" spans="1:15" x14ac:dyDescent="0.25">
      <c r="A49" s="152">
        <f t="shared" si="2"/>
        <v>49</v>
      </c>
      <c r="B49" s="159" t="s">
        <v>454</v>
      </c>
      <c r="C49" s="159" t="s">
        <v>495</v>
      </c>
      <c r="D49" s="166" t="s">
        <v>458</v>
      </c>
      <c r="E49" s="159" t="s">
        <v>498</v>
      </c>
      <c r="F49" s="161"/>
      <c r="G49" s="162" t="s">
        <v>499</v>
      </c>
      <c r="H49" s="134">
        <v>2010</v>
      </c>
      <c r="I49" s="163" t="s">
        <v>500</v>
      </c>
      <c r="J49" s="150">
        <v>55</v>
      </c>
      <c r="L49" s="151" t="s">
        <v>349</v>
      </c>
      <c r="M49" s="151"/>
      <c r="N49" s="151" t="s">
        <v>393</v>
      </c>
      <c r="O49" s="151">
        <v>186</v>
      </c>
    </row>
    <row r="50" spans="1:15" ht="26.4" x14ac:dyDescent="0.25">
      <c r="A50" s="152">
        <f t="shared" si="2"/>
        <v>50</v>
      </c>
      <c r="B50" s="159" t="s">
        <v>454</v>
      </c>
      <c r="C50" s="159" t="s">
        <v>495</v>
      </c>
      <c r="D50" s="166" t="s">
        <v>482</v>
      </c>
      <c r="E50" s="159" t="s">
        <v>501</v>
      </c>
      <c r="F50" s="161"/>
      <c r="G50" s="162" t="s">
        <v>502</v>
      </c>
      <c r="H50" s="134">
        <v>2060</v>
      </c>
      <c r="I50" s="163" t="s">
        <v>503</v>
      </c>
      <c r="J50" s="150">
        <v>56</v>
      </c>
      <c r="L50" s="151" t="s">
        <v>349</v>
      </c>
      <c r="M50" s="151"/>
      <c r="N50" s="151" t="s">
        <v>397</v>
      </c>
      <c r="O50" s="151">
        <v>180</v>
      </c>
    </row>
    <row r="51" spans="1:15" x14ac:dyDescent="0.25">
      <c r="A51" s="152">
        <f t="shared" si="2"/>
        <v>51</v>
      </c>
      <c r="B51" s="159" t="s">
        <v>454</v>
      </c>
      <c r="C51" s="159" t="s">
        <v>495</v>
      </c>
      <c r="D51" s="166" t="s">
        <v>482</v>
      </c>
      <c r="E51" s="159" t="s">
        <v>501</v>
      </c>
      <c r="F51" s="161"/>
      <c r="G51" s="162" t="s">
        <v>504</v>
      </c>
      <c r="H51" s="134">
        <v>2030</v>
      </c>
      <c r="I51" s="163" t="s">
        <v>505</v>
      </c>
      <c r="J51" s="150">
        <v>57</v>
      </c>
      <c r="L51" s="151" t="s">
        <v>349</v>
      </c>
      <c r="M51" s="151"/>
      <c r="N51" s="151" t="s">
        <v>451</v>
      </c>
      <c r="O51" s="151">
        <v>186</v>
      </c>
    </row>
    <row r="52" spans="1:15" x14ac:dyDescent="0.25">
      <c r="A52" s="152">
        <f t="shared" si="2"/>
        <v>52</v>
      </c>
      <c r="B52" s="159" t="s">
        <v>454</v>
      </c>
      <c r="C52" s="159" t="s">
        <v>506</v>
      </c>
      <c r="D52" s="166"/>
      <c r="E52" s="159" t="s">
        <v>506</v>
      </c>
      <c r="F52" s="161"/>
      <c r="G52" s="162" t="s">
        <v>507</v>
      </c>
      <c r="H52" s="134">
        <v>2000</v>
      </c>
      <c r="I52" s="163" t="s">
        <v>508</v>
      </c>
      <c r="J52" s="150">
        <v>58</v>
      </c>
      <c r="L52" s="151" t="s">
        <v>349</v>
      </c>
      <c r="M52" s="151"/>
      <c r="N52" s="151" t="s">
        <v>401</v>
      </c>
      <c r="O52" s="151">
        <v>180</v>
      </c>
    </row>
    <row r="53" spans="1:15" x14ac:dyDescent="0.25">
      <c r="A53" s="152">
        <f t="shared" si="2"/>
        <v>53</v>
      </c>
      <c r="B53" s="159" t="s">
        <v>454</v>
      </c>
      <c r="C53" s="159" t="s">
        <v>506</v>
      </c>
      <c r="D53" s="166" t="s">
        <v>458</v>
      </c>
      <c r="E53" s="159" t="s">
        <v>509</v>
      </c>
      <c r="F53" s="161"/>
      <c r="G53" s="162" t="s">
        <v>510</v>
      </c>
      <c r="H53" s="134">
        <v>2010</v>
      </c>
      <c r="I53" s="163" t="s">
        <v>511</v>
      </c>
      <c r="J53" s="150">
        <v>59</v>
      </c>
      <c r="L53" s="151" t="s">
        <v>349</v>
      </c>
      <c r="M53" s="151"/>
      <c r="N53" s="151" t="s">
        <v>405</v>
      </c>
      <c r="O53" s="151">
        <v>186</v>
      </c>
    </row>
    <row r="54" spans="1:15" ht="26.4" x14ac:dyDescent="0.25">
      <c r="A54" s="152">
        <f t="shared" si="2"/>
        <v>54</v>
      </c>
      <c r="B54" s="159" t="s">
        <v>454</v>
      </c>
      <c r="C54" s="159" t="s">
        <v>506</v>
      </c>
      <c r="D54" s="166" t="s">
        <v>482</v>
      </c>
      <c r="E54" s="159" t="s">
        <v>512</v>
      </c>
      <c r="F54" s="161"/>
      <c r="G54" s="162" t="s">
        <v>513</v>
      </c>
      <c r="H54" s="134">
        <v>2060</v>
      </c>
      <c r="I54" s="163" t="s">
        <v>514</v>
      </c>
      <c r="J54" s="150">
        <v>60</v>
      </c>
      <c r="L54" s="151" t="s">
        <v>349</v>
      </c>
      <c r="M54" s="151"/>
      <c r="N54" s="151" t="s">
        <v>409</v>
      </c>
      <c r="O54" s="151">
        <v>180</v>
      </c>
    </row>
    <row r="55" spans="1:15" x14ac:dyDescent="0.25">
      <c r="A55" s="152">
        <f t="shared" si="2"/>
        <v>55</v>
      </c>
      <c r="B55" s="159" t="s">
        <v>454</v>
      </c>
      <c r="C55" s="159" t="s">
        <v>506</v>
      </c>
      <c r="D55" s="166" t="s">
        <v>482</v>
      </c>
      <c r="E55" s="159" t="s">
        <v>512</v>
      </c>
      <c r="F55" s="161"/>
      <c r="G55" s="162" t="s">
        <v>515</v>
      </c>
      <c r="H55" s="134">
        <v>2030</v>
      </c>
      <c r="I55" s="163" t="s">
        <v>516</v>
      </c>
      <c r="J55" s="150">
        <v>61</v>
      </c>
      <c r="L55" s="151" t="s">
        <v>349</v>
      </c>
      <c r="M55" s="151"/>
      <c r="N55" s="151" t="s">
        <v>416</v>
      </c>
      <c r="O55" s="151">
        <v>186</v>
      </c>
    </row>
    <row r="56" spans="1:15" ht="39.6" x14ac:dyDescent="0.25">
      <c r="A56" s="152">
        <f t="shared" si="2"/>
        <v>56</v>
      </c>
      <c r="B56" s="159" t="s">
        <v>517</v>
      </c>
      <c r="C56" s="159" t="s">
        <v>518</v>
      </c>
      <c r="D56" s="166" t="s">
        <v>519</v>
      </c>
      <c r="E56" s="159" t="s">
        <v>520</v>
      </c>
      <c r="F56" s="161"/>
      <c r="G56" s="162" t="s">
        <v>521</v>
      </c>
      <c r="H56" s="134">
        <v>2020</v>
      </c>
      <c r="I56" s="163" t="s">
        <v>522</v>
      </c>
      <c r="J56" s="150">
        <v>62</v>
      </c>
      <c r="L56" s="151" t="s">
        <v>349</v>
      </c>
      <c r="M56" s="151"/>
      <c r="N56" s="151" t="s">
        <v>350</v>
      </c>
      <c r="O56" s="151">
        <v>180</v>
      </c>
    </row>
    <row r="57" spans="1:15" ht="39.6" x14ac:dyDescent="0.25">
      <c r="A57" s="152">
        <f t="shared" si="2"/>
        <v>57</v>
      </c>
      <c r="B57" s="159" t="s">
        <v>517</v>
      </c>
      <c r="C57" s="159" t="s">
        <v>518</v>
      </c>
      <c r="D57" s="166" t="s">
        <v>519</v>
      </c>
      <c r="E57" s="159" t="s">
        <v>520</v>
      </c>
      <c r="F57" s="161"/>
      <c r="G57" s="162" t="s">
        <v>523</v>
      </c>
      <c r="H57" s="134">
        <v>2020</v>
      </c>
      <c r="I57" s="163" t="s">
        <v>524</v>
      </c>
      <c r="J57" s="150">
        <v>63</v>
      </c>
      <c r="L57" s="151" t="s">
        <v>349</v>
      </c>
      <c r="M57" s="151"/>
      <c r="N57" s="151" t="s">
        <v>355</v>
      </c>
      <c r="O57" s="151">
        <v>186</v>
      </c>
    </row>
    <row r="58" spans="1:15" ht="39.6" x14ac:dyDescent="0.25">
      <c r="A58" s="152">
        <f t="shared" si="2"/>
        <v>58</v>
      </c>
      <c r="B58" s="159" t="s">
        <v>517</v>
      </c>
      <c r="C58" s="159" t="s">
        <v>518</v>
      </c>
      <c r="D58" s="166" t="s">
        <v>519</v>
      </c>
      <c r="E58" s="159" t="s">
        <v>520</v>
      </c>
      <c r="F58" s="161"/>
      <c r="G58" s="162" t="s">
        <v>525</v>
      </c>
      <c r="H58" s="134">
        <v>2020</v>
      </c>
      <c r="I58" s="163" t="s">
        <v>526</v>
      </c>
      <c r="J58" s="150">
        <v>64</v>
      </c>
      <c r="L58" s="151" t="s">
        <v>349</v>
      </c>
      <c r="M58" s="151"/>
      <c r="N58" s="151" t="s">
        <v>368</v>
      </c>
      <c r="O58" s="151">
        <v>180</v>
      </c>
    </row>
    <row r="59" spans="1:15" ht="39.6" x14ac:dyDescent="0.25">
      <c r="A59" s="152">
        <f t="shared" si="2"/>
        <v>59</v>
      </c>
      <c r="B59" s="159" t="s">
        <v>517</v>
      </c>
      <c r="C59" s="159" t="s">
        <v>527</v>
      </c>
      <c r="D59" s="166" t="s">
        <v>519</v>
      </c>
      <c r="E59" s="159" t="s">
        <v>528</v>
      </c>
      <c r="F59" s="161"/>
      <c r="G59" s="162" t="s">
        <v>529</v>
      </c>
      <c r="H59" s="134">
        <v>2020</v>
      </c>
      <c r="I59" s="163" t="s">
        <v>530</v>
      </c>
      <c r="J59" s="150">
        <v>65</v>
      </c>
      <c r="L59" s="151" t="s">
        <v>349</v>
      </c>
      <c r="M59" s="151"/>
      <c r="N59" s="151" t="s">
        <v>428</v>
      </c>
      <c r="O59" s="151">
        <v>186</v>
      </c>
    </row>
    <row r="60" spans="1:15" ht="39.6" x14ac:dyDescent="0.25">
      <c r="A60" s="152">
        <f>A59+1</f>
        <v>60</v>
      </c>
      <c r="B60" s="159" t="s">
        <v>517</v>
      </c>
      <c r="C60" s="159" t="s">
        <v>527</v>
      </c>
      <c r="D60" s="166" t="s">
        <v>519</v>
      </c>
      <c r="E60" s="159" t="s">
        <v>528</v>
      </c>
      <c r="F60" s="161"/>
      <c r="G60" s="162" t="s">
        <v>531</v>
      </c>
      <c r="H60" s="134">
        <v>2020</v>
      </c>
      <c r="I60" s="163" t="s">
        <v>532</v>
      </c>
      <c r="J60" s="150">
        <v>66</v>
      </c>
      <c r="L60" s="151" t="s">
        <v>349</v>
      </c>
      <c r="M60" s="151"/>
      <c r="N60" s="151" t="s">
        <v>373</v>
      </c>
      <c r="O60" s="151">
        <v>180</v>
      </c>
    </row>
    <row r="61" spans="1:15" ht="39.6" x14ac:dyDescent="0.25">
      <c r="A61" s="152">
        <f t="shared" si="2"/>
        <v>61</v>
      </c>
      <c r="B61" s="159" t="s">
        <v>517</v>
      </c>
      <c r="C61" s="159" t="s">
        <v>533</v>
      </c>
      <c r="D61" s="166" t="s">
        <v>519</v>
      </c>
      <c r="E61" s="159" t="s">
        <v>534</v>
      </c>
      <c r="F61" s="161"/>
      <c r="G61" s="162" t="s">
        <v>535</v>
      </c>
      <c r="H61" s="134">
        <v>2020</v>
      </c>
      <c r="I61" s="163" t="s">
        <v>536</v>
      </c>
      <c r="J61" s="150">
        <v>67</v>
      </c>
      <c r="L61" s="151" t="s">
        <v>349</v>
      </c>
      <c r="M61" s="151"/>
      <c r="N61" s="151" t="s">
        <v>381</v>
      </c>
      <c r="O61" s="151">
        <v>180</v>
      </c>
    </row>
    <row r="62" spans="1:15" ht="39.6" x14ac:dyDescent="0.25">
      <c r="A62" s="152">
        <f t="shared" si="2"/>
        <v>62</v>
      </c>
      <c r="B62" s="159" t="s">
        <v>517</v>
      </c>
      <c r="C62" s="159" t="s">
        <v>533</v>
      </c>
      <c r="D62" s="166" t="s">
        <v>519</v>
      </c>
      <c r="E62" s="159" t="s">
        <v>534</v>
      </c>
      <c r="F62" s="161"/>
      <c r="G62" s="162" t="s">
        <v>537</v>
      </c>
      <c r="H62" s="134">
        <v>2020</v>
      </c>
      <c r="I62" s="163" t="s">
        <v>538</v>
      </c>
      <c r="J62" s="150">
        <v>68</v>
      </c>
      <c r="L62" s="151" t="s">
        <v>349</v>
      </c>
      <c r="M62" s="151"/>
      <c r="N62" s="151" t="s">
        <v>385</v>
      </c>
      <c r="O62" s="151">
        <v>180</v>
      </c>
    </row>
    <row r="63" spans="1:15" ht="52.8" x14ac:dyDescent="0.25">
      <c r="A63" s="152">
        <f t="shared" si="2"/>
        <v>63</v>
      </c>
      <c r="B63" s="159" t="s">
        <v>517</v>
      </c>
      <c r="C63" s="159" t="s">
        <v>539</v>
      </c>
      <c r="D63" s="166" t="s">
        <v>519</v>
      </c>
      <c r="E63" s="159" t="s">
        <v>540</v>
      </c>
      <c r="F63" s="161"/>
      <c r="G63" s="162" t="s">
        <v>541</v>
      </c>
      <c r="H63" s="134">
        <v>2020</v>
      </c>
      <c r="I63" s="163" t="s">
        <v>542</v>
      </c>
      <c r="J63" s="150">
        <v>69</v>
      </c>
      <c r="L63" s="151" t="s">
        <v>349</v>
      </c>
      <c r="M63" s="151"/>
      <c r="N63" s="151" t="s">
        <v>441</v>
      </c>
      <c r="O63" s="151">
        <v>186</v>
      </c>
    </row>
    <row r="64" spans="1:15" ht="52.8" x14ac:dyDescent="0.25">
      <c r="A64" s="152">
        <f t="shared" si="2"/>
        <v>64</v>
      </c>
      <c r="B64" s="159" t="s">
        <v>517</v>
      </c>
      <c r="C64" s="159" t="s">
        <v>539</v>
      </c>
      <c r="D64" s="166" t="s">
        <v>519</v>
      </c>
      <c r="E64" s="159" t="s">
        <v>540</v>
      </c>
      <c r="F64" s="161"/>
      <c r="G64" s="162" t="s">
        <v>543</v>
      </c>
      <c r="H64" s="134">
        <v>2020</v>
      </c>
      <c r="I64" s="163" t="s">
        <v>544</v>
      </c>
      <c r="J64" s="150">
        <v>70</v>
      </c>
      <c r="L64" s="151" t="s">
        <v>349</v>
      </c>
      <c r="M64" s="151"/>
      <c r="N64" s="151" t="s">
        <v>389</v>
      </c>
      <c r="O64" s="151">
        <v>180</v>
      </c>
    </row>
    <row r="65" spans="1:15" ht="26.4" x14ac:dyDescent="0.25">
      <c r="A65" s="143">
        <v>65</v>
      </c>
      <c r="B65" s="159" t="s">
        <v>545</v>
      </c>
      <c r="C65" s="159" t="s">
        <v>546</v>
      </c>
      <c r="D65" s="169"/>
      <c r="E65" s="159" t="s">
        <v>546</v>
      </c>
      <c r="F65" s="161"/>
      <c r="G65" s="162" t="s">
        <v>547</v>
      </c>
      <c r="H65" s="134">
        <v>2000</v>
      </c>
      <c r="I65" s="163" t="s">
        <v>546</v>
      </c>
      <c r="J65" s="150">
        <v>81</v>
      </c>
      <c r="L65" s="151" t="s">
        <v>349</v>
      </c>
      <c r="M65" s="151"/>
      <c r="N65" s="151" t="s">
        <v>397</v>
      </c>
      <c r="O65" s="151">
        <v>180</v>
      </c>
    </row>
    <row r="66" spans="1:15" ht="26.4" x14ac:dyDescent="0.25">
      <c r="A66" s="143">
        <f>A65+1</f>
        <v>66</v>
      </c>
      <c r="B66" s="159" t="s">
        <v>545</v>
      </c>
      <c r="C66" s="159" t="s">
        <v>546</v>
      </c>
      <c r="D66" s="166" t="s">
        <v>458</v>
      </c>
      <c r="E66" s="159" t="s">
        <v>548</v>
      </c>
      <c r="F66" s="161"/>
      <c r="G66" s="162" t="s">
        <v>549</v>
      </c>
      <c r="H66" s="134">
        <v>2010</v>
      </c>
      <c r="I66" s="163" t="s">
        <v>550</v>
      </c>
      <c r="J66" s="150">
        <v>82</v>
      </c>
      <c r="L66" s="151" t="s">
        <v>349</v>
      </c>
      <c r="M66" s="151"/>
      <c r="N66" s="151" t="s">
        <v>451</v>
      </c>
      <c r="O66" s="151">
        <v>186</v>
      </c>
    </row>
    <row r="67" spans="1:15" ht="26.4" x14ac:dyDescent="0.25">
      <c r="A67" s="143">
        <f t="shared" ref="A67:A103" si="3">A66+1</f>
        <v>67</v>
      </c>
      <c r="B67" s="159" t="s">
        <v>545</v>
      </c>
      <c r="C67" s="159" t="s">
        <v>546</v>
      </c>
      <c r="D67" s="166" t="s">
        <v>551</v>
      </c>
      <c r="E67" s="159" t="s">
        <v>552</v>
      </c>
      <c r="F67" s="161"/>
      <c r="G67" s="162" t="s">
        <v>553</v>
      </c>
      <c r="H67" s="134">
        <v>2060</v>
      </c>
      <c r="I67" s="163" t="s">
        <v>554</v>
      </c>
      <c r="J67" s="150">
        <v>83</v>
      </c>
      <c r="L67" s="151" t="s">
        <v>349</v>
      </c>
      <c r="M67" s="151"/>
      <c r="N67" s="151" t="s">
        <v>401</v>
      </c>
      <c r="O67" s="151">
        <v>180</v>
      </c>
    </row>
    <row r="68" spans="1:15" ht="26.4" x14ac:dyDescent="0.25">
      <c r="A68" s="143">
        <f t="shared" si="3"/>
        <v>68</v>
      </c>
      <c r="B68" s="159" t="s">
        <v>545</v>
      </c>
      <c r="C68" s="159" t="s">
        <v>555</v>
      </c>
      <c r="D68" s="166"/>
      <c r="E68" s="159" t="s">
        <v>555</v>
      </c>
      <c r="F68" s="161"/>
      <c r="G68" s="162" t="s">
        <v>556</v>
      </c>
      <c r="H68" s="134">
        <v>2000</v>
      </c>
      <c r="I68" s="163" t="s">
        <v>555</v>
      </c>
      <c r="J68" s="150">
        <v>84</v>
      </c>
      <c r="L68" s="151" t="s">
        <v>349</v>
      </c>
      <c r="M68" s="151"/>
      <c r="N68" s="151" t="s">
        <v>409</v>
      </c>
      <c r="O68" s="151">
        <v>180</v>
      </c>
    </row>
    <row r="69" spans="1:15" ht="26.4" x14ac:dyDescent="0.25">
      <c r="A69" s="143">
        <f t="shared" si="3"/>
        <v>69</v>
      </c>
      <c r="B69" s="159" t="s">
        <v>545</v>
      </c>
      <c r="C69" s="159" t="s">
        <v>555</v>
      </c>
      <c r="D69" s="166" t="s">
        <v>458</v>
      </c>
      <c r="E69" s="159" t="s">
        <v>557</v>
      </c>
      <c r="F69" s="161"/>
      <c r="G69" s="162" t="s">
        <v>558</v>
      </c>
      <c r="H69" s="134">
        <v>2010</v>
      </c>
      <c r="I69" s="163" t="s">
        <v>559</v>
      </c>
      <c r="J69" s="150">
        <v>85</v>
      </c>
      <c r="L69" s="151" t="s">
        <v>349</v>
      </c>
      <c r="M69" s="151"/>
      <c r="N69" s="151" t="s">
        <v>560</v>
      </c>
      <c r="O69" s="151">
        <v>180</v>
      </c>
    </row>
    <row r="70" spans="1:15" ht="39.6" x14ac:dyDescent="0.25">
      <c r="A70" s="143">
        <f t="shared" si="3"/>
        <v>70</v>
      </c>
      <c r="B70" s="159" t="s">
        <v>545</v>
      </c>
      <c r="C70" s="159" t="s">
        <v>561</v>
      </c>
      <c r="D70" s="166"/>
      <c r="E70" s="159" t="s">
        <v>561</v>
      </c>
      <c r="F70" s="161"/>
      <c r="G70" s="162" t="s">
        <v>562</v>
      </c>
      <c r="H70" s="134">
        <v>2000</v>
      </c>
      <c r="I70" s="163" t="s">
        <v>561</v>
      </c>
      <c r="J70" s="150">
        <v>86</v>
      </c>
      <c r="L70" s="151" t="s">
        <v>349</v>
      </c>
      <c r="M70" s="151"/>
      <c r="N70" s="151" t="s">
        <v>563</v>
      </c>
      <c r="O70" s="151">
        <v>180</v>
      </c>
    </row>
    <row r="71" spans="1:15" ht="39.6" x14ac:dyDescent="0.25">
      <c r="A71" s="143">
        <f t="shared" si="3"/>
        <v>71</v>
      </c>
      <c r="B71" s="159" t="s">
        <v>545</v>
      </c>
      <c r="C71" s="159" t="s">
        <v>561</v>
      </c>
      <c r="D71" s="166" t="s">
        <v>458</v>
      </c>
      <c r="E71" s="159" t="s">
        <v>564</v>
      </c>
      <c r="F71" s="161"/>
      <c r="G71" s="162" t="s">
        <v>565</v>
      </c>
      <c r="H71" s="134">
        <v>2010</v>
      </c>
      <c r="I71" s="163" t="s">
        <v>566</v>
      </c>
      <c r="J71" s="150">
        <v>87</v>
      </c>
      <c r="L71" s="151" t="s">
        <v>349</v>
      </c>
      <c r="M71" s="151"/>
      <c r="N71" s="151" t="s">
        <v>567</v>
      </c>
      <c r="O71" s="151">
        <v>180</v>
      </c>
    </row>
    <row r="72" spans="1:15" x14ac:dyDescent="0.25">
      <c r="A72" s="143">
        <f t="shared" si="3"/>
        <v>72</v>
      </c>
      <c r="B72" s="170" t="s">
        <v>568</v>
      </c>
      <c r="C72" s="159" t="s">
        <v>569</v>
      </c>
      <c r="D72" s="166" t="s">
        <v>570</v>
      </c>
      <c r="E72" s="159" t="s">
        <v>569</v>
      </c>
      <c r="F72" s="161"/>
      <c r="G72" s="162" t="s">
        <v>569</v>
      </c>
      <c r="H72" s="134">
        <v>2000</v>
      </c>
      <c r="I72" s="163" t="s">
        <v>571</v>
      </c>
      <c r="J72" s="150">
        <v>88</v>
      </c>
      <c r="L72" s="151" t="s">
        <v>349</v>
      </c>
      <c r="M72" s="151"/>
      <c r="N72" s="151" t="s">
        <v>572</v>
      </c>
      <c r="O72" s="151">
        <v>180</v>
      </c>
    </row>
    <row r="73" spans="1:15" x14ac:dyDescent="0.25">
      <c r="A73" s="143">
        <f t="shared" si="3"/>
        <v>73</v>
      </c>
      <c r="B73" s="170"/>
      <c r="C73" s="159" t="s">
        <v>573</v>
      </c>
      <c r="D73" s="166" t="s">
        <v>574</v>
      </c>
      <c r="E73" s="159" t="s">
        <v>575</v>
      </c>
      <c r="F73" s="161"/>
      <c r="G73" s="162" t="s">
        <v>575</v>
      </c>
      <c r="H73" s="134">
        <v>2000</v>
      </c>
      <c r="I73" s="163" t="s">
        <v>576</v>
      </c>
      <c r="J73" s="150">
        <v>89</v>
      </c>
      <c r="L73" s="151" t="s">
        <v>349</v>
      </c>
      <c r="M73" s="151"/>
      <c r="N73" s="151" t="s">
        <v>560</v>
      </c>
      <c r="O73" s="151">
        <v>180</v>
      </c>
    </row>
    <row r="74" spans="1:15" x14ac:dyDescent="0.25">
      <c r="A74" s="143">
        <f t="shared" si="3"/>
        <v>74</v>
      </c>
      <c r="B74" s="170"/>
      <c r="C74" s="159" t="s">
        <v>573</v>
      </c>
      <c r="D74" s="166" t="s">
        <v>574</v>
      </c>
      <c r="E74" s="159" t="s">
        <v>577</v>
      </c>
      <c r="F74" s="161"/>
      <c r="G74" s="162" t="s">
        <v>577</v>
      </c>
      <c r="H74" s="134">
        <v>2000</v>
      </c>
      <c r="I74" s="163" t="s">
        <v>578</v>
      </c>
      <c r="J74" s="150">
        <v>90</v>
      </c>
      <c r="L74" s="151" t="s">
        <v>349</v>
      </c>
      <c r="M74" s="151"/>
      <c r="N74" s="151" t="s">
        <v>563</v>
      </c>
      <c r="O74" s="151">
        <v>180</v>
      </c>
    </row>
    <row r="75" spans="1:15" x14ac:dyDescent="0.25">
      <c r="A75" s="143">
        <f t="shared" si="3"/>
        <v>75</v>
      </c>
      <c r="B75" s="170" t="s">
        <v>568</v>
      </c>
      <c r="C75" s="159" t="s">
        <v>579</v>
      </c>
      <c r="D75" s="166" t="s">
        <v>574</v>
      </c>
      <c r="E75" s="159" t="s">
        <v>579</v>
      </c>
      <c r="F75" s="161"/>
      <c r="G75" s="162" t="s">
        <v>579</v>
      </c>
      <c r="H75" s="134">
        <v>2000</v>
      </c>
      <c r="I75" s="163" t="s">
        <v>579</v>
      </c>
      <c r="J75" s="150">
        <v>91</v>
      </c>
      <c r="L75" s="151" t="s">
        <v>349</v>
      </c>
      <c r="M75" s="151"/>
      <c r="N75" s="151" t="s">
        <v>567</v>
      </c>
      <c r="O75" s="151">
        <v>180</v>
      </c>
    </row>
    <row r="76" spans="1:15" ht="26.4" x14ac:dyDescent="0.25">
      <c r="A76" s="143">
        <f t="shared" si="3"/>
        <v>76</v>
      </c>
      <c r="B76" s="170" t="s">
        <v>568</v>
      </c>
      <c r="C76" s="159" t="s">
        <v>580</v>
      </c>
      <c r="D76" s="166" t="s">
        <v>581</v>
      </c>
      <c r="E76" s="159" t="s">
        <v>580</v>
      </c>
      <c r="F76" s="161"/>
      <c r="G76" s="162" t="s">
        <v>580</v>
      </c>
      <c r="H76" s="134">
        <v>2000</v>
      </c>
      <c r="I76" s="163" t="s">
        <v>580</v>
      </c>
      <c r="J76" s="150">
        <v>92</v>
      </c>
      <c r="L76" s="151" t="s">
        <v>349</v>
      </c>
      <c r="M76" s="151"/>
      <c r="N76" s="151" t="s">
        <v>572</v>
      </c>
      <c r="O76" s="151">
        <v>180</v>
      </c>
    </row>
    <row r="77" spans="1:15" x14ac:dyDescent="0.25">
      <c r="A77" s="143">
        <f t="shared" si="3"/>
        <v>77</v>
      </c>
      <c r="B77" s="170" t="s">
        <v>568</v>
      </c>
      <c r="C77" s="159" t="s">
        <v>582</v>
      </c>
      <c r="D77" s="166" t="s">
        <v>417</v>
      </c>
      <c r="E77" s="159" t="s">
        <v>582</v>
      </c>
      <c r="F77" s="161"/>
      <c r="G77" s="162" t="s">
        <v>582</v>
      </c>
      <c r="H77" s="134">
        <v>2000</v>
      </c>
      <c r="I77" s="163" t="s">
        <v>582</v>
      </c>
      <c r="J77" s="150">
        <v>93</v>
      </c>
      <c r="L77" s="151" t="s">
        <v>349</v>
      </c>
      <c r="M77" s="151"/>
      <c r="N77" s="151" t="s">
        <v>583</v>
      </c>
      <c r="O77" s="151">
        <v>180</v>
      </c>
    </row>
    <row r="78" spans="1:15" x14ac:dyDescent="0.25">
      <c r="A78" s="143">
        <f t="shared" si="3"/>
        <v>78</v>
      </c>
      <c r="B78" s="170" t="s">
        <v>584</v>
      </c>
      <c r="C78" s="159" t="s">
        <v>585</v>
      </c>
      <c r="D78" s="169"/>
      <c r="E78" s="159" t="s">
        <v>585</v>
      </c>
      <c r="F78" s="161"/>
      <c r="G78" s="162" t="s">
        <v>586</v>
      </c>
      <c r="H78" s="134">
        <v>2000</v>
      </c>
      <c r="I78" s="163" t="s">
        <v>586</v>
      </c>
      <c r="J78" s="150">
        <v>94</v>
      </c>
      <c r="L78" s="151" t="s">
        <v>349</v>
      </c>
      <c r="M78" s="151"/>
      <c r="N78" s="151" t="s">
        <v>583</v>
      </c>
      <c r="O78" s="151">
        <v>180</v>
      </c>
    </row>
    <row r="79" spans="1:15" x14ac:dyDescent="0.25">
      <c r="A79" s="143">
        <f t="shared" si="3"/>
        <v>79</v>
      </c>
      <c r="B79" s="170" t="s">
        <v>584</v>
      </c>
      <c r="C79" s="159" t="s">
        <v>585</v>
      </c>
      <c r="D79" s="169"/>
      <c r="E79" s="159" t="s">
        <v>587</v>
      </c>
      <c r="F79" s="161"/>
      <c r="G79" s="162" t="s">
        <v>588</v>
      </c>
      <c r="H79" s="134">
        <v>600</v>
      </c>
      <c r="I79" s="163" t="s">
        <v>587</v>
      </c>
      <c r="J79" s="150">
        <v>95</v>
      </c>
      <c r="L79" s="151" t="s">
        <v>349</v>
      </c>
      <c r="M79" s="151"/>
      <c r="N79" s="151" t="s">
        <v>583</v>
      </c>
      <c r="O79" s="151">
        <v>180</v>
      </c>
    </row>
    <row r="80" spans="1:15" x14ac:dyDescent="0.25">
      <c r="A80" s="143">
        <f t="shared" si="3"/>
        <v>80</v>
      </c>
      <c r="B80" s="170" t="s">
        <v>584</v>
      </c>
      <c r="C80" s="159" t="s">
        <v>585</v>
      </c>
      <c r="D80" s="169"/>
      <c r="E80" s="159" t="s">
        <v>589</v>
      </c>
      <c r="F80" s="161"/>
      <c r="G80" s="165" t="s">
        <v>590</v>
      </c>
      <c r="H80" s="134">
        <v>622</v>
      </c>
      <c r="I80" s="163" t="s">
        <v>591</v>
      </c>
      <c r="J80" s="150">
        <v>96</v>
      </c>
      <c r="L80" s="151" t="s">
        <v>349</v>
      </c>
      <c r="M80" s="151"/>
      <c r="N80" s="151" t="s">
        <v>592</v>
      </c>
      <c r="O80" s="151">
        <v>180</v>
      </c>
    </row>
    <row r="81" spans="1:15" x14ac:dyDescent="0.25">
      <c r="A81" s="143">
        <f t="shared" si="3"/>
        <v>81</v>
      </c>
      <c r="B81" s="170" t="s">
        <v>584</v>
      </c>
      <c r="C81" s="159" t="s">
        <v>585</v>
      </c>
      <c r="D81" s="169"/>
      <c r="E81" s="159" t="s">
        <v>593</v>
      </c>
      <c r="F81" s="161"/>
      <c r="G81" s="162" t="s">
        <v>594</v>
      </c>
      <c r="H81" s="134">
        <v>2000</v>
      </c>
      <c r="I81" s="163" t="s">
        <v>594</v>
      </c>
      <c r="J81" s="150">
        <v>97</v>
      </c>
      <c r="L81" s="151" t="s">
        <v>349</v>
      </c>
      <c r="M81" s="151"/>
      <c r="N81" s="151" t="s">
        <v>592</v>
      </c>
      <c r="O81" s="151">
        <v>180</v>
      </c>
    </row>
    <row r="82" spans="1:15" x14ac:dyDescent="0.25">
      <c r="A82" s="143">
        <f t="shared" si="3"/>
        <v>82</v>
      </c>
      <c r="B82" s="170" t="s">
        <v>584</v>
      </c>
      <c r="C82" s="159" t="s">
        <v>585</v>
      </c>
      <c r="D82" s="169"/>
      <c r="E82" s="159" t="s">
        <v>593</v>
      </c>
      <c r="F82" s="161"/>
      <c r="G82" s="165" t="s">
        <v>595</v>
      </c>
      <c r="H82" s="134">
        <v>2020</v>
      </c>
      <c r="I82" s="163" t="s">
        <v>596</v>
      </c>
      <c r="J82" s="150">
        <v>98</v>
      </c>
      <c r="L82" s="151" t="s">
        <v>349</v>
      </c>
      <c r="M82" s="151"/>
      <c r="N82" s="151" t="s">
        <v>592</v>
      </c>
      <c r="O82" s="151">
        <v>180</v>
      </c>
    </row>
    <row r="83" spans="1:15" x14ac:dyDescent="0.25">
      <c r="A83" s="143">
        <f t="shared" si="3"/>
        <v>83</v>
      </c>
      <c r="B83" s="170" t="s">
        <v>584</v>
      </c>
      <c r="C83" s="159" t="s">
        <v>585</v>
      </c>
      <c r="D83" s="169"/>
      <c r="E83" s="159" t="s">
        <v>593</v>
      </c>
      <c r="F83" s="161"/>
      <c r="G83" s="165" t="s">
        <v>597</v>
      </c>
      <c r="H83" s="134">
        <v>2040</v>
      </c>
      <c r="I83" s="163" t="s">
        <v>598</v>
      </c>
      <c r="J83" s="150">
        <v>99</v>
      </c>
      <c r="L83" s="151" t="s">
        <v>349</v>
      </c>
      <c r="M83" s="151"/>
      <c r="N83" s="151" t="s">
        <v>592</v>
      </c>
      <c r="O83" s="151">
        <v>180</v>
      </c>
    </row>
    <row r="84" spans="1:15" x14ac:dyDescent="0.25">
      <c r="A84" s="143">
        <f t="shared" si="3"/>
        <v>84</v>
      </c>
      <c r="B84" s="170" t="s">
        <v>584</v>
      </c>
      <c r="C84" s="159" t="s">
        <v>585</v>
      </c>
      <c r="D84" s="169"/>
      <c r="E84" s="159" t="s">
        <v>593</v>
      </c>
      <c r="F84" s="161"/>
      <c r="G84" s="165" t="s">
        <v>599</v>
      </c>
      <c r="H84" s="134">
        <v>2020</v>
      </c>
      <c r="I84" s="163" t="s">
        <v>600</v>
      </c>
      <c r="J84" s="150">
        <v>100</v>
      </c>
      <c r="L84" s="151" t="s">
        <v>349</v>
      </c>
      <c r="M84" s="151"/>
      <c r="N84" s="151" t="s">
        <v>601</v>
      </c>
      <c r="O84" s="151">
        <v>180</v>
      </c>
    </row>
    <row r="85" spans="1:15" ht="26.4" x14ac:dyDescent="0.25">
      <c r="A85" s="143">
        <f t="shared" si="3"/>
        <v>85</v>
      </c>
      <c r="B85" s="170" t="s">
        <v>584</v>
      </c>
      <c r="C85" s="159" t="s">
        <v>602</v>
      </c>
      <c r="D85" s="166" t="s">
        <v>417</v>
      </c>
      <c r="E85" s="159" t="s">
        <v>602</v>
      </c>
      <c r="F85" s="161"/>
      <c r="G85" s="162" t="s">
        <v>602</v>
      </c>
      <c r="H85" s="134">
        <v>2000</v>
      </c>
      <c r="I85" s="163" t="s">
        <v>602</v>
      </c>
      <c r="J85" s="150">
        <v>101</v>
      </c>
      <c r="L85" s="151" t="s">
        <v>349</v>
      </c>
      <c r="M85" s="151"/>
      <c r="N85" s="151" t="s">
        <v>601</v>
      </c>
      <c r="O85" s="151">
        <v>180</v>
      </c>
    </row>
    <row r="86" spans="1:15" x14ac:dyDescent="0.25">
      <c r="A86" s="143">
        <f t="shared" si="3"/>
        <v>86</v>
      </c>
      <c r="B86" s="170" t="s">
        <v>603</v>
      </c>
      <c r="C86" s="159" t="s">
        <v>603</v>
      </c>
      <c r="D86" s="166" t="s">
        <v>604</v>
      </c>
      <c r="E86" s="159" t="s">
        <v>605</v>
      </c>
      <c r="F86" s="161"/>
      <c r="G86" s="162" t="s">
        <v>606</v>
      </c>
      <c r="H86" s="134">
        <v>2065</v>
      </c>
      <c r="I86" s="163" t="s">
        <v>607</v>
      </c>
      <c r="J86" s="150">
        <v>102</v>
      </c>
      <c r="L86" s="151" t="s">
        <v>349</v>
      </c>
      <c r="M86" s="151"/>
      <c r="N86" s="151" t="s">
        <v>601</v>
      </c>
      <c r="O86" s="151">
        <v>180</v>
      </c>
    </row>
    <row r="87" spans="1:15" x14ac:dyDescent="0.25">
      <c r="A87" s="143">
        <f t="shared" si="3"/>
        <v>87</v>
      </c>
      <c r="B87" s="170" t="s">
        <v>603</v>
      </c>
      <c r="C87" s="159" t="s">
        <v>603</v>
      </c>
      <c r="D87" s="166" t="s">
        <v>551</v>
      </c>
      <c r="E87" s="159" t="s">
        <v>608</v>
      </c>
      <c r="F87" s="161"/>
      <c r="G87" s="162" t="s">
        <v>609</v>
      </c>
      <c r="H87" s="134">
        <v>2010</v>
      </c>
      <c r="I87" s="163" t="s">
        <v>610</v>
      </c>
      <c r="J87" s="150">
        <v>103</v>
      </c>
      <c r="L87" s="151" t="s">
        <v>349</v>
      </c>
      <c r="M87" s="151"/>
      <c r="N87" s="151" t="s">
        <v>611</v>
      </c>
      <c r="O87" s="151">
        <v>180</v>
      </c>
    </row>
    <row r="88" spans="1:15" x14ac:dyDescent="0.25">
      <c r="A88" s="143">
        <f>A87+1</f>
        <v>88</v>
      </c>
      <c r="B88" s="170" t="s">
        <v>603</v>
      </c>
      <c r="C88" s="159" t="s">
        <v>603</v>
      </c>
      <c r="D88" s="166" t="s">
        <v>551</v>
      </c>
      <c r="E88" s="159"/>
      <c r="F88" s="161"/>
      <c r="G88" s="162" t="s">
        <v>612</v>
      </c>
      <c r="H88" s="134">
        <v>2000</v>
      </c>
      <c r="I88" s="163" t="s">
        <v>613</v>
      </c>
      <c r="J88" s="150">
        <v>104</v>
      </c>
      <c r="L88" s="151" t="s">
        <v>349</v>
      </c>
      <c r="M88" s="151"/>
      <c r="N88" s="151" t="s">
        <v>614</v>
      </c>
      <c r="O88" s="151">
        <v>180</v>
      </c>
    </row>
    <row r="89" spans="1:15" x14ac:dyDescent="0.25">
      <c r="A89" s="143">
        <f t="shared" si="3"/>
        <v>89</v>
      </c>
      <c r="B89" s="170"/>
      <c r="C89" s="159"/>
      <c r="D89" s="169"/>
      <c r="E89" s="171"/>
      <c r="F89" s="171"/>
      <c r="G89" s="172" t="s">
        <v>615</v>
      </c>
      <c r="H89" s="134">
        <v>2000</v>
      </c>
      <c r="I89" s="163" t="s">
        <v>616</v>
      </c>
      <c r="J89" s="150">
        <v>105</v>
      </c>
      <c r="L89" s="151" t="s">
        <v>349</v>
      </c>
      <c r="M89" s="151"/>
      <c r="N89" s="151" t="s">
        <v>617</v>
      </c>
      <c r="O89" s="151">
        <v>180</v>
      </c>
    </row>
    <row r="90" spans="1:15" x14ac:dyDescent="0.25">
      <c r="A90" s="143">
        <f t="shared" si="3"/>
        <v>90</v>
      </c>
      <c r="B90" s="170"/>
      <c r="C90" s="159"/>
      <c r="D90" s="169"/>
      <c r="E90" s="171"/>
      <c r="F90" s="171"/>
      <c r="G90" s="172" t="s">
        <v>618</v>
      </c>
      <c r="H90" s="134">
        <v>2000</v>
      </c>
      <c r="I90" s="163" t="s">
        <v>619</v>
      </c>
      <c r="J90" s="150">
        <v>106</v>
      </c>
      <c r="L90" s="151" t="s">
        <v>349</v>
      </c>
      <c r="M90" s="151"/>
      <c r="N90" s="151" t="s">
        <v>617</v>
      </c>
      <c r="O90" s="151">
        <v>180</v>
      </c>
    </row>
    <row r="91" spans="1:15" ht="26.4" x14ac:dyDescent="0.25">
      <c r="A91" s="143">
        <f t="shared" si="3"/>
        <v>91</v>
      </c>
      <c r="B91" s="170"/>
      <c r="C91" s="159"/>
      <c r="D91" s="169"/>
      <c r="E91" s="171"/>
      <c r="F91" s="171"/>
      <c r="G91" s="172" t="s">
        <v>620</v>
      </c>
      <c r="H91" s="134">
        <v>2000</v>
      </c>
      <c r="I91" s="163" t="s">
        <v>621</v>
      </c>
      <c r="J91" s="150">
        <v>107</v>
      </c>
      <c r="L91" s="151" t="s">
        <v>349</v>
      </c>
      <c r="M91" s="151"/>
      <c r="N91" s="151" t="s">
        <v>622</v>
      </c>
      <c r="O91" s="151">
        <v>180</v>
      </c>
    </row>
    <row r="92" spans="1:15" ht="26.4" x14ac:dyDescent="0.25">
      <c r="A92" s="143">
        <f t="shared" si="3"/>
        <v>92</v>
      </c>
      <c r="B92" s="170"/>
      <c r="C92" s="159"/>
      <c r="D92" s="169"/>
      <c r="E92" s="171"/>
      <c r="F92" s="171"/>
      <c r="G92" s="172" t="s">
        <v>623</v>
      </c>
      <c r="H92" s="134">
        <v>2000</v>
      </c>
      <c r="I92" s="163" t="s">
        <v>624</v>
      </c>
      <c r="J92" s="150">
        <v>108</v>
      </c>
      <c r="L92" s="151" t="s">
        <v>349</v>
      </c>
      <c r="M92" s="151"/>
      <c r="N92" s="151" t="s">
        <v>622</v>
      </c>
      <c r="O92" s="151">
        <v>180</v>
      </c>
    </row>
    <row r="93" spans="1:15" ht="26.4" x14ac:dyDescent="0.25">
      <c r="A93" s="143">
        <f t="shared" si="3"/>
        <v>93</v>
      </c>
      <c r="B93" s="170"/>
      <c r="C93" s="159"/>
      <c r="D93" s="169"/>
      <c r="E93" s="171"/>
      <c r="F93" s="171"/>
      <c r="G93" s="172" t="s">
        <v>625</v>
      </c>
      <c r="H93" s="134">
        <v>2010</v>
      </c>
      <c r="I93" s="163" t="s">
        <v>626</v>
      </c>
      <c r="J93" s="150">
        <v>109</v>
      </c>
      <c r="L93" s="151" t="s">
        <v>349</v>
      </c>
      <c r="M93" s="151"/>
      <c r="N93" s="151" t="s">
        <v>622</v>
      </c>
      <c r="O93" s="151">
        <v>180</v>
      </c>
    </row>
    <row r="94" spans="1:15" x14ac:dyDescent="0.25">
      <c r="A94" s="143">
        <f t="shared" si="3"/>
        <v>94</v>
      </c>
      <c r="B94" s="170"/>
      <c r="C94" s="159"/>
      <c r="D94" s="169"/>
      <c r="E94" s="171"/>
      <c r="F94" s="171"/>
      <c r="G94" s="173" t="s">
        <v>627</v>
      </c>
      <c r="H94" s="134">
        <v>2000</v>
      </c>
      <c r="I94" s="163" t="s">
        <v>628</v>
      </c>
      <c r="J94" s="150">
        <v>110</v>
      </c>
      <c r="L94" s="151" t="s">
        <v>349</v>
      </c>
      <c r="M94" s="151"/>
      <c r="N94" s="151" t="s">
        <v>629</v>
      </c>
      <c r="O94" s="151">
        <v>180</v>
      </c>
    </row>
    <row r="95" spans="1:15" x14ac:dyDescent="0.25">
      <c r="A95" s="143">
        <f t="shared" si="3"/>
        <v>95</v>
      </c>
      <c r="B95" s="170"/>
      <c r="C95" s="159"/>
      <c r="D95" s="169"/>
      <c r="E95" s="171"/>
      <c r="F95" s="171"/>
      <c r="G95" s="173" t="s">
        <v>630</v>
      </c>
      <c r="H95" s="134">
        <v>2010</v>
      </c>
      <c r="I95" s="163" t="s">
        <v>631</v>
      </c>
      <c r="J95" s="150">
        <v>111</v>
      </c>
      <c r="L95" s="151" t="s">
        <v>349</v>
      </c>
      <c r="M95" s="151"/>
      <c r="N95" s="151" t="s">
        <v>629</v>
      </c>
      <c r="O95" s="151">
        <v>180</v>
      </c>
    </row>
    <row r="96" spans="1:15" x14ac:dyDescent="0.25">
      <c r="A96" s="143">
        <f t="shared" si="3"/>
        <v>96</v>
      </c>
      <c r="B96" s="170"/>
      <c r="C96" s="159"/>
      <c r="D96" s="169"/>
      <c r="E96" s="171"/>
      <c r="F96" s="171"/>
      <c r="G96" s="173" t="s">
        <v>632</v>
      </c>
      <c r="H96" s="134">
        <v>2020</v>
      </c>
      <c r="I96" s="163" t="s">
        <v>633</v>
      </c>
      <c r="J96" s="150">
        <v>112</v>
      </c>
      <c r="L96" s="151" t="s">
        <v>349</v>
      </c>
      <c r="M96" s="151"/>
      <c r="N96" s="151" t="s">
        <v>629</v>
      </c>
      <c r="O96" s="151">
        <v>180</v>
      </c>
    </row>
    <row r="97" spans="1:15" ht="26.4" x14ac:dyDescent="0.25">
      <c r="A97" s="143">
        <f t="shared" si="3"/>
        <v>97</v>
      </c>
      <c r="B97" s="170"/>
      <c r="C97" s="159"/>
      <c r="D97" s="169"/>
      <c r="E97" s="171"/>
      <c r="F97" s="171"/>
      <c r="G97" s="173" t="s">
        <v>634</v>
      </c>
      <c r="H97" s="134">
        <v>2050</v>
      </c>
      <c r="I97" s="163" t="s">
        <v>635</v>
      </c>
      <c r="J97" s="150">
        <v>113</v>
      </c>
      <c r="L97" s="151" t="s">
        <v>349</v>
      </c>
      <c r="M97" s="151"/>
      <c r="N97" s="151" t="s">
        <v>636</v>
      </c>
      <c r="O97" s="151">
        <v>180</v>
      </c>
    </row>
    <row r="98" spans="1:15" ht="26.4" x14ac:dyDescent="0.25">
      <c r="A98" s="143">
        <f t="shared" si="3"/>
        <v>98</v>
      </c>
      <c r="B98" s="170"/>
      <c r="C98" s="159"/>
      <c r="D98" s="169"/>
      <c r="E98" s="171"/>
      <c r="F98" s="174"/>
      <c r="G98" s="175" t="s">
        <v>637</v>
      </c>
      <c r="H98" s="134">
        <v>2010</v>
      </c>
      <c r="I98" s="176" t="s">
        <v>638</v>
      </c>
      <c r="J98" s="150">
        <v>114</v>
      </c>
      <c r="L98" s="151" t="s">
        <v>349</v>
      </c>
      <c r="M98" s="151"/>
      <c r="N98" s="151" t="s">
        <v>636</v>
      </c>
      <c r="O98" s="151">
        <v>180</v>
      </c>
    </row>
    <row r="99" spans="1:15" ht="26.4" x14ac:dyDescent="0.25">
      <c r="A99" s="143">
        <f t="shared" si="3"/>
        <v>99</v>
      </c>
      <c r="B99" s="170"/>
      <c r="C99" s="159"/>
      <c r="D99" s="169"/>
      <c r="E99" s="171"/>
      <c r="F99" s="174"/>
      <c r="G99" s="175" t="s">
        <v>639</v>
      </c>
      <c r="H99" s="134">
        <v>2010</v>
      </c>
      <c r="I99" s="176" t="s">
        <v>640</v>
      </c>
      <c r="J99" s="150">
        <v>115</v>
      </c>
      <c r="L99" s="151" t="s">
        <v>349</v>
      </c>
      <c r="M99" s="151"/>
      <c r="N99" s="151" t="s">
        <v>641</v>
      </c>
      <c r="O99" s="151">
        <v>180</v>
      </c>
    </row>
    <row r="100" spans="1:15" ht="26.4" x14ac:dyDescent="0.25">
      <c r="A100" s="143">
        <f t="shared" si="3"/>
        <v>100</v>
      </c>
      <c r="B100" s="177"/>
      <c r="C100" s="159"/>
      <c r="D100" s="169"/>
      <c r="E100" s="171"/>
      <c r="F100" s="178"/>
      <c r="G100" s="178" t="s">
        <v>642</v>
      </c>
      <c r="H100" s="134">
        <v>2060</v>
      </c>
      <c r="I100" s="179" t="s">
        <v>643</v>
      </c>
      <c r="J100" s="150">
        <v>116</v>
      </c>
      <c r="L100" s="151" t="s">
        <v>349</v>
      </c>
      <c r="M100" s="151"/>
      <c r="N100" s="151" t="s">
        <v>641</v>
      </c>
      <c r="O100" s="151">
        <v>180</v>
      </c>
    </row>
    <row r="101" spans="1:15" x14ac:dyDescent="0.25">
      <c r="A101" s="143">
        <f t="shared" si="3"/>
        <v>101</v>
      </c>
      <c r="B101" s="177"/>
      <c r="C101" s="159"/>
      <c r="D101" s="169"/>
      <c r="E101" s="171"/>
      <c r="F101" s="178"/>
      <c r="G101" s="178" t="s">
        <v>644</v>
      </c>
      <c r="H101" s="134">
        <v>2030</v>
      </c>
      <c r="I101" s="179" t="s">
        <v>645</v>
      </c>
      <c r="J101" s="150">
        <v>117</v>
      </c>
      <c r="L101" s="151" t="s">
        <v>349</v>
      </c>
      <c r="M101" s="151"/>
      <c r="N101" s="151" t="s">
        <v>646</v>
      </c>
      <c r="O101" s="151">
        <v>180</v>
      </c>
    </row>
    <row r="102" spans="1:15" x14ac:dyDescent="0.25">
      <c r="A102" s="143">
        <f t="shared" si="3"/>
        <v>102</v>
      </c>
      <c r="B102" s="177"/>
      <c r="C102" s="159"/>
      <c r="D102" s="169"/>
      <c r="E102" s="171"/>
      <c r="F102" s="178"/>
      <c r="G102" s="180" t="s">
        <v>647</v>
      </c>
      <c r="H102" s="134">
        <v>2030</v>
      </c>
      <c r="I102" s="179" t="s">
        <v>648</v>
      </c>
      <c r="J102" s="150">
        <v>118</v>
      </c>
      <c r="L102" s="151" t="s">
        <v>349</v>
      </c>
      <c r="M102" s="151"/>
      <c r="N102" s="151" t="s">
        <v>649</v>
      </c>
      <c r="O102" s="151">
        <v>180</v>
      </c>
    </row>
    <row r="103" spans="1:15" x14ac:dyDescent="0.25">
      <c r="A103" s="143">
        <f t="shared" si="3"/>
        <v>103</v>
      </c>
      <c r="B103" s="177"/>
      <c r="C103" s="159"/>
      <c r="D103" s="169"/>
      <c r="E103" s="171"/>
      <c r="F103" s="181" t="s">
        <v>650</v>
      </c>
      <c r="G103" s="182" t="s">
        <v>651</v>
      </c>
      <c r="H103" s="134">
        <v>2030</v>
      </c>
      <c r="I103" s="183" t="s">
        <v>652</v>
      </c>
      <c r="J103" s="150">
        <v>119</v>
      </c>
      <c r="L103" s="151" t="s">
        <v>349</v>
      </c>
      <c r="M103" s="151"/>
      <c r="N103" s="151" t="s">
        <v>653</v>
      </c>
      <c r="O103" s="151">
        <v>2095</v>
      </c>
    </row>
    <row r="104" spans="1:15" x14ac:dyDescent="0.25">
      <c r="A104" s="143">
        <f>A103+1</f>
        <v>104</v>
      </c>
      <c r="B104" s="177"/>
      <c r="C104" s="159"/>
      <c r="D104" s="169"/>
      <c r="E104" s="171"/>
      <c r="F104" s="181" t="s">
        <v>650</v>
      </c>
      <c r="G104" s="182" t="s">
        <v>654</v>
      </c>
      <c r="H104" s="134">
        <v>2060</v>
      </c>
      <c r="I104" s="183" t="s">
        <v>655</v>
      </c>
      <c r="J104" s="150">
        <v>120</v>
      </c>
      <c r="L104" s="151" t="s">
        <v>349</v>
      </c>
      <c r="M104" s="151"/>
      <c r="N104" s="151" t="s">
        <v>656</v>
      </c>
      <c r="O104" s="151">
        <v>180</v>
      </c>
    </row>
    <row r="105" spans="1:15" x14ac:dyDescent="0.25">
      <c r="A105" s="143">
        <f>A104+1</f>
        <v>105</v>
      </c>
      <c r="B105" s="177"/>
      <c r="C105" s="159"/>
      <c r="D105" s="169"/>
      <c r="E105" s="171"/>
      <c r="F105" s="181" t="s">
        <v>650</v>
      </c>
      <c r="G105" s="182" t="s">
        <v>657</v>
      </c>
      <c r="H105" s="134">
        <v>2040</v>
      </c>
      <c r="I105" s="183" t="s">
        <v>658</v>
      </c>
      <c r="J105" s="150">
        <v>121</v>
      </c>
      <c r="L105" s="151" t="s">
        <v>349</v>
      </c>
      <c r="M105" s="151"/>
      <c r="N105" s="151" t="s">
        <v>659</v>
      </c>
      <c r="O105" s="151">
        <v>180</v>
      </c>
    </row>
    <row r="106" spans="1:15" x14ac:dyDescent="0.25">
      <c r="A106" s="184">
        <v>106</v>
      </c>
      <c r="B106" s="177"/>
      <c r="C106" s="159"/>
      <c r="D106" s="169"/>
      <c r="E106" s="171"/>
      <c r="F106" s="172" t="s">
        <v>650</v>
      </c>
      <c r="G106" s="172" t="s">
        <v>660</v>
      </c>
      <c r="H106" s="134">
        <v>2000</v>
      </c>
      <c r="I106" s="185" t="s">
        <v>661</v>
      </c>
      <c r="J106" s="150">
        <v>122</v>
      </c>
      <c r="L106" s="151" t="s">
        <v>349</v>
      </c>
      <c r="M106" s="151"/>
      <c r="N106" s="151" t="s">
        <v>662</v>
      </c>
      <c r="O106" s="151">
        <v>180</v>
      </c>
    </row>
    <row r="107" spans="1:15" x14ac:dyDescent="0.25">
      <c r="A107" s="184">
        <v>107</v>
      </c>
      <c r="B107" s="177"/>
      <c r="C107" s="159"/>
      <c r="D107" s="169"/>
      <c r="E107" s="171"/>
      <c r="F107" s="186" t="s">
        <v>650</v>
      </c>
      <c r="G107" s="187" t="s">
        <v>663</v>
      </c>
      <c r="H107" s="134">
        <v>2000</v>
      </c>
      <c r="I107" s="188" t="s">
        <v>664</v>
      </c>
      <c r="J107" s="150">
        <v>123</v>
      </c>
      <c r="L107" s="151" t="s">
        <v>349</v>
      </c>
      <c r="M107" s="151"/>
      <c r="N107" s="151" t="s">
        <v>665</v>
      </c>
      <c r="O107" s="151">
        <v>180</v>
      </c>
    </row>
    <row r="108" spans="1:15" x14ac:dyDescent="0.25">
      <c r="A108" s="184">
        <v>108</v>
      </c>
      <c r="B108" s="177"/>
      <c r="C108" s="159"/>
      <c r="D108" s="169"/>
      <c r="E108" s="171"/>
      <c r="F108" s="186" t="s">
        <v>650</v>
      </c>
      <c r="G108" s="187" t="s">
        <v>666</v>
      </c>
      <c r="H108" s="134">
        <v>2010</v>
      </c>
      <c r="I108" s="188" t="s">
        <v>667</v>
      </c>
      <c r="J108" s="150">
        <v>124</v>
      </c>
      <c r="L108" s="151" t="s">
        <v>349</v>
      </c>
      <c r="M108" s="151"/>
      <c r="N108" s="151" t="s">
        <v>668</v>
      </c>
      <c r="O108" s="151">
        <v>180</v>
      </c>
    </row>
    <row r="109" spans="1:15" x14ac:dyDescent="0.25">
      <c r="A109" s="189"/>
      <c r="B109" s="190"/>
      <c r="C109" s="191"/>
      <c r="D109" s="192"/>
      <c r="E109" s="192"/>
      <c r="F109" s="193"/>
      <c r="G109" s="194" t="s">
        <v>413</v>
      </c>
      <c r="H109" s="195">
        <v>2095</v>
      </c>
      <c r="I109" s="196"/>
      <c r="J109" s="150"/>
      <c r="L109" s="151" t="s">
        <v>349</v>
      </c>
      <c r="M109" s="151"/>
      <c r="N109" s="151" t="s">
        <v>669</v>
      </c>
      <c r="O109" s="151">
        <v>180</v>
      </c>
    </row>
    <row r="110" spans="1:15" x14ac:dyDescent="0.25">
      <c r="A110" s="189"/>
      <c r="B110" s="190"/>
      <c r="C110" s="191"/>
      <c r="D110" s="192"/>
      <c r="E110" s="192"/>
      <c r="F110" s="193"/>
      <c r="G110" s="194" t="s">
        <v>653</v>
      </c>
      <c r="H110" s="194">
        <v>2095</v>
      </c>
      <c r="I110" s="196"/>
      <c r="J110" s="150"/>
      <c r="L110" s="151" t="s">
        <v>349</v>
      </c>
      <c r="M110" s="151"/>
      <c r="N110" s="151" t="s">
        <v>670</v>
      </c>
      <c r="O110" s="151">
        <v>180</v>
      </c>
    </row>
    <row r="111" spans="1:15" x14ac:dyDescent="0.25">
      <c r="A111" s="189"/>
      <c r="B111" s="190"/>
      <c r="C111" s="191"/>
      <c r="D111" s="192"/>
      <c r="E111" s="192"/>
      <c r="F111" s="193"/>
      <c r="G111" s="194" t="s">
        <v>409</v>
      </c>
      <c r="H111" s="194">
        <v>180</v>
      </c>
      <c r="I111" s="196"/>
      <c r="J111" s="150"/>
      <c r="L111" s="151" t="s">
        <v>349</v>
      </c>
      <c r="M111" s="151"/>
      <c r="N111" s="151" t="s">
        <v>671</v>
      </c>
      <c r="O111" s="151">
        <v>180</v>
      </c>
    </row>
    <row r="112" spans="1:15" x14ac:dyDescent="0.25">
      <c r="A112" s="189"/>
      <c r="B112" s="190"/>
      <c r="C112" s="191"/>
      <c r="D112" s="192"/>
      <c r="E112" s="192"/>
      <c r="F112" s="193"/>
      <c r="G112" s="197"/>
      <c r="I112" s="196"/>
      <c r="J112" s="150"/>
      <c r="L112" s="151" t="s">
        <v>349</v>
      </c>
      <c r="M112" s="151"/>
      <c r="N112" s="151" t="s">
        <v>672</v>
      </c>
      <c r="O112" s="151">
        <v>180</v>
      </c>
    </row>
    <row r="113" spans="12:15" x14ac:dyDescent="0.25">
      <c r="L113" s="151" t="s">
        <v>349</v>
      </c>
      <c r="M113" s="151"/>
      <c r="N113" s="151" t="s">
        <v>673</v>
      </c>
      <c r="O113" s="151">
        <v>180</v>
      </c>
    </row>
    <row r="114" spans="12:15" x14ac:dyDescent="0.25">
      <c r="L114" s="151" t="s">
        <v>349</v>
      </c>
      <c r="M114" s="151"/>
      <c r="N114" s="151" t="s">
        <v>674</v>
      </c>
      <c r="O114" s="151">
        <v>180</v>
      </c>
    </row>
    <row r="115" spans="12:15" x14ac:dyDescent="0.25">
      <c r="L115" s="151" t="s">
        <v>349</v>
      </c>
      <c r="M115" s="151"/>
      <c r="N115" s="151" t="s">
        <v>675</v>
      </c>
      <c r="O115" s="151">
        <v>180</v>
      </c>
    </row>
    <row r="116" spans="12:15" x14ac:dyDescent="0.25">
      <c r="L116" s="151" t="s">
        <v>349</v>
      </c>
      <c r="M116" s="151"/>
      <c r="N116" s="151" t="s">
        <v>676</v>
      </c>
      <c r="O116" s="151">
        <v>180</v>
      </c>
    </row>
    <row r="117" spans="12:15" x14ac:dyDescent="0.25">
      <c r="L117" s="198" t="s">
        <v>677</v>
      </c>
      <c r="M117" s="198"/>
      <c r="N117" s="198" t="s">
        <v>678</v>
      </c>
      <c r="O117" s="198">
        <v>2095</v>
      </c>
    </row>
    <row r="118" spans="12:15" x14ac:dyDescent="0.25">
      <c r="L118" s="198" t="s">
        <v>677</v>
      </c>
      <c r="M118" s="198"/>
      <c r="N118" s="198" t="s">
        <v>679</v>
      </c>
      <c r="O118" s="198">
        <v>180</v>
      </c>
    </row>
    <row r="119" spans="12:15" ht="26.4" x14ac:dyDescent="0.25">
      <c r="L119" s="198" t="s">
        <v>677</v>
      </c>
      <c r="M119" s="198"/>
      <c r="N119" s="198" t="s">
        <v>680</v>
      </c>
      <c r="O119" s="198">
        <v>180</v>
      </c>
    </row>
    <row r="120" spans="12:15" x14ac:dyDescent="0.25">
      <c r="L120" s="198" t="s">
        <v>677</v>
      </c>
      <c r="M120" s="198"/>
      <c r="N120" s="198" t="s">
        <v>681</v>
      </c>
      <c r="O120" s="198">
        <v>180</v>
      </c>
    </row>
    <row r="121" spans="12:15" x14ac:dyDescent="0.25">
      <c r="L121" s="198" t="s">
        <v>677</v>
      </c>
      <c r="M121" s="198"/>
      <c r="N121" s="198" t="s">
        <v>682</v>
      </c>
      <c r="O121" s="198">
        <v>180</v>
      </c>
    </row>
    <row r="122" spans="12:15" x14ac:dyDescent="0.25">
      <c r="L122" s="198" t="s">
        <v>677</v>
      </c>
      <c r="M122" s="198"/>
      <c r="N122" s="198" t="s">
        <v>683</v>
      </c>
      <c r="O122" s="198">
        <v>2095</v>
      </c>
    </row>
    <row r="123" spans="12:15" x14ac:dyDescent="0.25">
      <c r="L123" s="198" t="s">
        <v>677</v>
      </c>
      <c r="M123" s="198"/>
      <c r="N123" s="198" t="s">
        <v>684</v>
      </c>
      <c r="O123" s="198">
        <v>180</v>
      </c>
    </row>
    <row r="124" spans="12:15" ht="26.4" x14ac:dyDescent="0.25">
      <c r="L124" s="198" t="s">
        <v>677</v>
      </c>
      <c r="M124" s="198"/>
      <c r="N124" s="198" t="s">
        <v>685</v>
      </c>
      <c r="O124" s="198">
        <v>180</v>
      </c>
    </row>
    <row r="125" spans="12:15" x14ac:dyDescent="0.25">
      <c r="L125" s="198" t="s">
        <v>677</v>
      </c>
      <c r="M125" s="198"/>
      <c r="N125" s="198" t="s">
        <v>686</v>
      </c>
      <c r="O125" s="198">
        <v>180</v>
      </c>
    </row>
    <row r="126" spans="12:15" x14ac:dyDescent="0.25">
      <c r="L126" s="198" t="s">
        <v>677</v>
      </c>
      <c r="M126" s="198"/>
      <c r="N126" s="198" t="s">
        <v>687</v>
      </c>
      <c r="O126" s="198">
        <v>180</v>
      </c>
    </row>
    <row r="127" spans="12:15" x14ac:dyDescent="0.25">
      <c r="L127" s="198" t="s">
        <v>677</v>
      </c>
      <c r="M127" s="198"/>
      <c r="N127" s="198" t="s">
        <v>688</v>
      </c>
      <c r="O127" s="198">
        <v>180</v>
      </c>
    </row>
    <row r="128" spans="12:15" ht="26.4" x14ac:dyDescent="0.25">
      <c r="L128" s="198" t="s">
        <v>677</v>
      </c>
      <c r="M128" s="198"/>
      <c r="N128" s="198" t="s">
        <v>689</v>
      </c>
      <c r="O128" s="198">
        <v>185</v>
      </c>
    </row>
    <row r="129" spans="12:15" ht="26.4" x14ac:dyDescent="0.25">
      <c r="L129" s="198" t="s">
        <v>677</v>
      </c>
      <c r="M129" s="198"/>
      <c r="N129" s="198" t="s">
        <v>690</v>
      </c>
      <c r="O129" s="198">
        <v>185</v>
      </c>
    </row>
    <row r="130" spans="12:15" ht="26.4" x14ac:dyDescent="0.25">
      <c r="L130" s="198" t="s">
        <v>677</v>
      </c>
      <c r="M130" s="198"/>
      <c r="N130" s="198" t="s">
        <v>691</v>
      </c>
      <c r="O130" s="198">
        <v>185</v>
      </c>
    </row>
    <row r="131" spans="12:15" x14ac:dyDescent="0.25">
      <c r="L131" s="198" t="s">
        <v>677</v>
      </c>
      <c r="M131" s="198"/>
      <c r="N131" s="198" t="s">
        <v>692</v>
      </c>
      <c r="O131" s="198">
        <v>180</v>
      </c>
    </row>
    <row r="132" spans="12:15" ht="26.4" x14ac:dyDescent="0.25">
      <c r="L132" s="198" t="s">
        <v>677</v>
      </c>
      <c r="M132" s="198"/>
      <c r="N132" s="198" t="s">
        <v>693</v>
      </c>
      <c r="O132" s="198">
        <v>180</v>
      </c>
    </row>
    <row r="133" spans="12:15" ht="26.4" x14ac:dyDescent="0.25">
      <c r="L133" s="198" t="s">
        <v>677</v>
      </c>
      <c r="M133" s="198"/>
      <c r="N133" s="198" t="s">
        <v>694</v>
      </c>
      <c r="O133" s="198">
        <v>180</v>
      </c>
    </row>
    <row r="134" spans="12:15" x14ac:dyDescent="0.25">
      <c r="L134" s="198" t="s">
        <v>677</v>
      </c>
      <c r="M134" s="198"/>
      <c r="N134" s="198" t="s">
        <v>695</v>
      </c>
      <c r="O134" s="198">
        <v>180</v>
      </c>
    </row>
    <row r="135" spans="12:15" x14ac:dyDescent="0.25">
      <c r="L135" s="198" t="s">
        <v>677</v>
      </c>
      <c r="M135" s="198"/>
      <c r="N135" s="198" t="s">
        <v>696</v>
      </c>
      <c r="O135" s="198">
        <v>180</v>
      </c>
    </row>
    <row r="136" spans="12:15" x14ac:dyDescent="0.25">
      <c r="L136" s="198" t="s">
        <v>677</v>
      </c>
      <c r="M136" s="198"/>
      <c r="N136" s="198" t="s">
        <v>697</v>
      </c>
      <c r="O136" s="198">
        <v>180</v>
      </c>
    </row>
    <row r="137" spans="12:15" x14ac:dyDescent="0.25">
      <c r="L137" s="198" t="s">
        <v>677</v>
      </c>
      <c r="M137" s="198"/>
      <c r="N137" s="198" t="s">
        <v>698</v>
      </c>
      <c r="O137" s="198">
        <v>180</v>
      </c>
    </row>
    <row r="138" spans="12:15" x14ac:dyDescent="0.25">
      <c r="L138" s="198" t="s">
        <v>677</v>
      </c>
      <c r="M138" s="198"/>
      <c r="N138" s="198" t="s">
        <v>699</v>
      </c>
      <c r="O138" s="198">
        <v>180</v>
      </c>
    </row>
    <row r="139" spans="12:15" x14ac:dyDescent="0.25">
      <c r="L139" s="198" t="s">
        <v>677</v>
      </c>
      <c r="M139" s="198"/>
      <c r="N139" s="198" t="s">
        <v>700</v>
      </c>
      <c r="O139" s="198">
        <v>180</v>
      </c>
    </row>
    <row r="140" spans="12:15" x14ac:dyDescent="0.25">
      <c r="L140" s="198" t="s">
        <v>677</v>
      </c>
      <c r="M140" s="198"/>
      <c r="N140" s="198" t="s">
        <v>701</v>
      </c>
      <c r="O140" s="198">
        <v>180</v>
      </c>
    </row>
    <row r="141" spans="12:15" x14ac:dyDescent="0.25">
      <c r="L141" s="198" t="s">
        <v>677</v>
      </c>
      <c r="M141" s="198"/>
      <c r="N141" s="198" t="s">
        <v>653</v>
      </c>
      <c r="O141" s="198">
        <v>2095</v>
      </c>
    </row>
    <row r="142" spans="12:15" ht="26.4" x14ac:dyDescent="0.25">
      <c r="L142" s="198" t="s">
        <v>677</v>
      </c>
      <c r="M142" s="198"/>
      <c r="N142" s="198" t="s">
        <v>702</v>
      </c>
      <c r="O142" s="198">
        <v>180</v>
      </c>
    </row>
    <row r="143" spans="12:15" ht="26.4" x14ac:dyDescent="0.25">
      <c r="L143" s="198" t="s">
        <v>677</v>
      </c>
      <c r="M143" s="198"/>
      <c r="N143" s="198" t="s">
        <v>703</v>
      </c>
      <c r="O143" s="198">
        <v>180</v>
      </c>
    </row>
    <row r="144" spans="12:15" x14ac:dyDescent="0.25">
      <c r="L144" s="198" t="s">
        <v>677</v>
      </c>
      <c r="M144" s="198"/>
      <c r="N144" s="198" t="s">
        <v>704</v>
      </c>
      <c r="O144" s="198">
        <v>180</v>
      </c>
    </row>
    <row r="145" spans="12:15" x14ac:dyDescent="0.25">
      <c r="L145" s="198" t="s">
        <v>677</v>
      </c>
      <c r="M145" s="198"/>
      <c r="N145" s="198" t="s">
        <v>705</v>
      </c>
      <c r="O145" s="198">
        <v>180</v>
      </c>
    </row>
    <row r="146" spans="12:15" x14ac:dyDescent="0.25">
      <c r="L146" s="198" t="s">
        <v>677</v>
      </c>
      <c r="M146" s="198"/>
      <c r="N146" s="198" t="s">
        <v>706</v>
      </c>
      <c r="O146" s="198">
        <v>180</v>
      </c>
    </row>
    <row r="147" spans="12:15" x14ac:dyDescent="0.25">
      <c r="L147" s="198" t="s">
        <v>677</v>
      </c>
      <c r="M147" s="198"/>
      <c r="N147" s="198" t="s">
        <v>707</v>
      </c>
      <c r="O147" s="198">
        <v>180</v>
      </c>
    </row>
    <row r="148" spans="12:15" x14ac:dyDescent="0.25">
      <c r="L148" s="198" t="s">
        <v>677</v>
      </c>
      <c r="M148" s="198"/>
      <c r="N148" s="198" t="s">
        <v>708</v>
      </c>
      <c r="O148" s="198">
        <v>180</v>
      </c>
    </row>
    <row r="149" spans="12:15" ht="26.4" x14ac:dyDescent="0.25">
      <c r="L149" s="198" t="s">
        <v>677</v>
      </c>
      <c r="M149" s="198"/>
      <c r="N149" s="198" t="s">
        <v>709</v>
      </c>
      <c r="O149" s="198">
        <v>180</v>
      </c>
    </row>
    <row r="150" spans="12:15" x14ac:dyDescent="0.25">
      <c r="L150" s="198" t="s">
        <v>677</v>
      </c>
      <c r="M150" s="198"/>
      <c r="N150" s="198" t="s">
        <v>710</v>
      </c>
      <c r="O150" s="198">
        <v>180</v>
      </c>
    </row>
    <row r="151" spans="12:15" x14ac:dyDescent="0.25">
      <c r="L151" s="198" t="s">
        <v>677</v>
      </c>
      <c r="M151" s="198"/>
      <c r="N151" s="198" t="s">
        <v>711</v>
      </c>
      <c r="O151" s="198">
        <v>180</v>
      </c>
    </row>
    <row r="152" spans="12:15" x14ac:dyDescent="0.25">
      <c r="L152" s="198" t="s">
        <v>677</v>
      </c>
      <c r="M152" s="198"/>
      <c r="N152" s="198" t="s">
        <v>712</v>
      </c>
      <c r="O152" s="198">
        <v>180</v>
      </c>
    </row>
    <row r="153" spans="12:15" x14ac:dyDescent="0.25">
      <c r="L153" s="198" t="s">
        <v>677</v>
      </c>
      <c r="M153" s="198"/>
      <c r="N153" s="198" t="s">
        <v>713</v>
      </c>
      <c r="O153" s="198">
        <v>180</v>
      </c>
    </row>
    <row r="154" spans="12:15" ht="26.4" x14ac:dyDescent="0.25">
      <c r="L154" s="198" t="s">
        <v>677</v>
      </c>
      <c r="M154" s="198"/>
      <c r="N154" s="198" t="s">
        <v>714</v>
      </c>
      <c r="O154" s="198">
        <v>180</v>
      </c>
    </row>
    <row r="155" spans="12:15" ht="26.4" x14ac:dyDescent="0.25">
      <c r="L155" s="198" t="s">
        <v>677</v>
      </c>
      <c r="M155" s="198"/>
      <c r="N155" s="198" t="s">
        <v>715</v>
      </c>
      <c r="O155" s="198">
        <v>180</v>
      </c>
    </row>
    <row r="156" spans="12:15" ht="26.4" x14ac:dyDescent="0.25">
      <c r="L156" s="198" t="s">
        <v>677</v>
      </c>
      <c r="M156" s="198"/>
      <c r="N156" s="198" t="s">
        <v>716</v>
      </c>
      <c r="O156" s="198">
        <v>180</v>
      </c>
    </row>
    <row r="157" spans="12:15" x14ac:dyDescent="0.25">
      <c r="L157" s="198" t="s">
        <v>677</v>
      </c>
      <c r="M157" s="198"/>
      <c r="N157" s="198" t="s">
        <v>717</v>
      </c>
      <c r="O157" s="198">
        <v>180</v>
      </c>
    </row>
    <row r="158" spans="12:15" x14ac:dyDescent="0.25">
      <c r="L158" s="198" t="s">
        <v>677</v>
      </c>
      <c r="M158" s="198"/>
      <c r="N158" s="198" t="s">
        <v>718</v>
      </c>
      <c r="O158" s="198">
        <v>180</v>
      </c>
    </row>
    <row r="159" spans="12:15" ht="26.4" x14ac:dyDescent="0.25">
      <c r="L159" s="198" t="s">
        <v>677</v>
      </c>
      <c r="M159" s="198"/>
      <c r="N159" s="198" t="s">
        <v>719</v>
      </c>
      <c r="O159" s="198">
        <v>180</v>
      </c>
    </row>
    <row r="160" spans="12:15" ht="26.4" x14ac:dyDescent="0.25">
      <c r="L160" s="198" t="s">
        <v>677</v>
      </c>
      <c r="M160" s="198"/>
      <c r="N160" s="198" t="s">
        <v>720</v>
      </c>
      <c r="O160" s="198">
        <v>180</v>
      </c>
    </row>
    <row r="161" spans="12:15" ht="26.4" x14ac:dyDescent="0.25">
      <c r="L161" s="198" t="s">
        <v>677</v>
      </c>
      <c r="M161" s="198"/>
      <c r="N161" s="198" t="s">
        <v>721</v>
      </c>
      <c r="O161" s="198">
        <v>180</v>
      </c>
    </row>
    <row r="162" spans="12:15" ht="26.4" x14ac:dyDescent="0.25">
      <c r="L162" s="198" t="s">
        <v>677</v>
      </c>
      <c r="M162" s="198"/>
      <c r="N162" s="198" t="s">
        <v>722</v>
      </c>
      <c r="O162" s="198">
        <v>180</v>
      </c>
    </row>
    <row r="163" spans="12:15" x14ac:dyDescent="0.25">
      <c r="L163" s="198" t="s">
        <v>677</v>
      </c>
      <c r="M163" s="198"/>
      <c r="N163" s="198" t="s">
        <v>723</v>
      </c>
      <c r="O163" s="198">
        <v>180</v>
      </c>
    </row>
    <row r="164" spans="12:15" x14ac:dyDescent="0.25">
      <c r="L164" s="198" t="s">
        <v>677</v>
      </c>
      <c r="M164" s="198"/>
      <c r="N164" s="198" t="s">
        <v>724</v>
      </c>
      <c r="O164" s="198">
        <v>180</v>
      </c>
    </row>
    <row r="165" spans="12:15" x14ac:dyDescent="0.25">
      <c r="L165" s="198" t="s">
        <v>677</v>
      </c>
      <c r="M165" s="198"/>
      <c r="N165" s="198" t="s">
        <v>725</v>
      </c>
      <c r="O165" s="198">
        <v>180</v>
      </c>
    </row>
    <row r="166" spans="12:15" x14ac:dyDescent="0.25">
      <c r="L166" s="198" t="s">
        <v>677</v>
      </c>
      <c r="M166" s="198"/>
      <c r="N166" s="198" t="s">
        <v>726</v>
      </c>
      <c r="O166" s="198">
        <v>180</v>
      </c>
    </row>
    <row r="167" spans="12:15" x14ac:dyDescent="0.25">
      <c r="L167" s="198" t="s">
        <v>677</v>
      </c>
      <c r="M167" s="198"/>
      <c r="N167" s="198" t="s">
        <v>727</v>
      </c>
      <c r="O167" s="198">
        <v>180</v>
      </c>
    </row>
    <row r="168" spans="12:15" ht="26.4" x14ac:dyDescent="0.25">
      <c r="L168" s="198" t="s">
        <v>677</v>
      </c>
      <c r="M168" s="198"/>
      <c r="N168" s="198" t="s">
        <v>709</v>
      </c>
      <c r="O168" s="198">
        <v>180</v>
      </c>
    </row>
    <row r="169" spans="12:15" x14ac:dyDescent="0.25">
      <c r="L169" s="198" t="s">
        <v>677</v>
      </c>
      <c r="M169" s="198"/>
      <c r="N169" s="198" t="s">
        <v>728</v>
      </c>
      <c r="O169" s="198">
        <v>180</v>
      </c>
    </row>
    <row r="170" spans="12:15" x14ac:dyDescent="0.25">
      <c r="L170" s="198" t="s">
        <v>677</v>
      </c>
      <c r="M170" s="198"/>
      <c r="N170" s="198" t="s">
        <v>729</v>
      </c>
      <c r="O170" s="198">
        <v>180</v>
      </c>
    </row>
    <row r="171" spans="12:15" x14ac:dyDescent="0.25">
      <c r="L171" s="198" t="s">
        <v>677</v>
      </c>
      <c r="M171" s="198"/>
      <c r="N171" s="198" t="s">
        <v>57</v>
      </c>
      <c r="O171" s="198">
        <v>180</v>
      </c>
    </row>
    <row r="172" spans="12:15" x14ac:dyDescent="0.25">
      <c r="L172" s="198" t="s">
        <v>677</v>
      </c>
      <c r="M172" s="198"/>
      <c r="N172" s="198" t="s">
        <v>730</v>
      </c>
      <c r="O172" s="198">
        <v>180</v>
      </c>
    </row>
    <row r="173" spans="12:15" x14ac:dyDescent="0.25">
      <c r="L173" s="198" t="s">
        <v>677</v>
      </c>
      <c r="M173" s="198"/>
      <c r="N173" s="198" t="s">
        <v>731</v>
      </c>
      <c r="O173" s="198">
        <v>180</v>
      </c>
    </row>
    <row r="174" spans="12:15" x14ac:dyDescent="0.25">
      <c r="L174" s="198" t="s">
        <v>677</v>
      </c>
      <c r="M174" s="198"/>
      <c r="N174" s="198" t="s">
        <v>732</v>
      </c>
      <c r="O174" s="198">
        <v>180</v>
      </c>
    </row>
    <row r="175" spans="12:15" x14ac:dyDescent="0.25">
      <c r="L175" s="198" t="s">
        <v>677</v>
      </c>
      <c r="M175" s="198"/>
      <c r="N175" s="198" t="s">
        <v>733</v>
      </c>
      <c r="O175" s="198">
        <v>180</v>
      </c>
    </row>
    <row r="176" spans="12:15" ht="26.4" x14ac:dyDescent="0.25">
      <c r="L176" s="199" t="s">
        <v>734</v>
      </c>
      <c r="M176" s="199"/>
      <c r="N176" s="199" t="s">
        <v>735</v>
      </c>
      <c r="O176" s="199">
        <v>184</v>
      </c>
    </row>
    <row r="177" spans="12:15" ht="26.4" x14ac:dyDescent="0.25">
      <c r="L177" s="199" t="s">
        <v>734</v>
      </c>
      <c r="M177" s="199"/>
      <c r="N177" s="199" t="s">
        <v>736</v>
      </c>
      <c r="O177" s="199">
        <v>184</v>
      </c>
    </row>
    <row r="178" spans="12:15" ht="26.4" x14ac:dyDescent="0.25">
      <c r="L178" s="199" t="s">
        <v>734</v>
      </c>
      <c r="M178" s="199"/>
      <c r="N178" s="199" t="s">
        <v>737</v>
      </c>
      <c r="O178" s="199">
        <v>184</v>
      </c>
    </row>
    <row r="179" spans="12:15" ht="26.4" x14ac:dyDescent="0.25">
      <c r="L179" s="199" t="s">
        <v>734</v>
      </c>
      <c r="M179" s="199"/>
      <c r="N179" s="199" t="s">
        <v>738</v>
      </c>
      <c r="O179" s="199">
        <v>184</v>
      </c>
    </row>
    <row r="180" spans="12:15" ht="26.4" x14ac:dyDescent="0.25">
      <c r="L180" s="199" t="s">
        <v>734</v>
      </c>
      <c r="M180" s="199"/>
      <c r="N180" s="199" t="s">
        <v>739</v>
      </c>
      <c r="O180" s="199">
        <v>184</v>
      </c>
    </row>
    <row r="181" spans="12:15" x14ac:dyDescent="0.25">
      <c r="L181" s="199" t="s">
        <v>734</v>
      </c>
      <c r="M181" s="199"/>
      <c r="N181" s="199" t="s">
        <v>740</v>
      </c>
      <c r="O181" s="199">
        <v>180</v>
      </c>
    </row>
    <row r="182" spans="12:15" x14ac:dyDescent="0.25">
      <c r="L182" s="199" t="s">
        <v>734</v>
      </c>
      <c r="M182" s="199"/>
      <c r="N182" s="199" t="s">
        <v>741</v>
      </c>
      <c r="O182" s="199">
        <v>180</v>
      </c>
    </row>
    <row r="183" spans="12:15" x14ac:dyDescent="0.25">
      <c r="L183" s="199" t="s">
        <v>734</v>
      </c>
      <c r="M183" s="199"/>
      <c r="N183" s="199" t="s">
        <v>742</v>
      </c>
      <c r="O183" s="199">
        <v>180</v>
      </c>
    </row>
    <row r="184" spans="12:15" x14ac:dyDescent="0.25">
      <c r="L184" s="199" t="s">
        <v>734</v>
      </c>
      <c r="M184" s="199"/>
      <c r="N184" s="199" t="s">
        <v>743</v>
      </c>
      <c r="O184" s="199">
        <v>180</v>
      </c>
    </row>
    <row r="185" spans="12:15" x14ac:dyDescent="0.25">
      <c r="L185" s="199" t="s">
        <v>734</v>
      </c>
      <c r="M185" s="199"/>
      <c r="N185" s="199" t="s">
        <v>744</v>
      </c>
      <c r="O185" s="199">
        <v>180</v>
      </c>
    </row>
    <row r="186" spans="12:15" x14ac:dyDescent="0.25">
      <c r="L186" s="199" t="s">
        <v>734</v>
      </c>
      <c r="M186" s="199"/>
      <c r="N186" s="199" t="s">
        <v>745</v>
      </c>
      <c r="O186" s="199">
        <v>180</v>
      </c>
    </row>
    <row r="187" spans="12:15" x14ac:dyDescent="0.25">
      <c r="L187" s="199" t="s">
        <v>734</v>
      </c>
      <c r="M187" s="199"/>
      <c r="N187" s="199" t="s">
        <v>746</v>
      </c>
      <c r="O187" s="199">
        <v>180</v>
      </c>
    </row>
    <row r="188" spans="12:15" ht="26.4" x14ac:dyDescent="0.25">
      <c r="L188" s="199" t="s">
        <v>734</v>
      </c>
      <c r="M188" s="199"/>
      <c r="N188" s="199" t="s">
        <v>747</v>
      </c>
      <c r="O188" s="199">
        <v>180</v>
      </c>
    </row>
    <row r="189" spans="12:15" x14ac:dyDescent="0.25">
      <c r="L189" s="199" t="s">
        <v>734</v>
      </c>
      <c r="M189" s="199"/>
      <c r="N189" s="199" t="s">
        <v>748</v>
      </c>
      <c r="O189" s="199">
        <v>180</v>
      </c>
    </row>
    <row r="190" spans="12:15" ht="26.4" x14ac:dyDescent="0.25">
      <c r="L190" s="199" t="s">
        <v>734</v>
      </c>
      <c r="M190" s="199"/>
      <c r="N190" s="199" t="s">
        <v>749</v>
      </c>
      <c r="O190" s="199">
        <v>180</v>
      </c>
    </row>
    <row r="191" spans="12:15" x14ac:dyDescent="0.25">
      <c r="L191" s="199" t="s">
        <v>734</v>
      </c>
      <c r="M191" s="199"/>
      <c r="N191" s="199" t="s">
        <v>750</v>
      </c>
      <c r="O191" s="199">
        <v>180</v>
      </c>
    </row>
    <row r="192" spans="12:15" ht="26.4" x14ac:dyDescent="0.25">
      <c r="L192" s="199" t="s">
        <v>734</v>
      </c>
      <c r="M192" s="199"/>
      <c r="N192" s="199" t="s">
        <v>751</v>
      </c>
      <c r="O192" s="199">
        <v>180</v>
      </c>
    </row>
    <row r="193" spans="12:15" ht="26.4" x14ac:dyDescent="0.25">
      <c r="L193" s="199" t="s">
        <v>734</v>
      </c>
      <c r="M193" s="199"/>
      <c r="N193" s="199" t="s">
        <v>752</v>
      </c>
      <c r="O193" s="199">
        <v>180</v>
      </c>
    </row>
    <row r="194" spans="12:15" x14ac:dyDescent="0.25">
      <c r="L194" s="199" t="s">
        <v>734</v>
      </c>
      <c r="M194" s="199"/>
      <c r="N194" s="199" t="s">
        <v>753</v>
      </c>
      <c r="O194" s="199">
        <v>180</v>
      </c>
    </row>
    <row r="195" spans="12:15" ht="26.4" x14ac:dyDescent="0.25">
      <c r="L195" s="199" t="s">
        <v>734</v>
      </c>
      <c r="M195" s="199"/>
      <c r="N195" s="199" t="s">
        <v>754</v>
      </c>
      <c r="O195" s="199">
        <v>180</v>
      </c>
    </row>
    <row r="196" spans="12:15" x14ac:dyDescent="0.25">
      <c r="L196" s="199" t="s">
        <v>734</v>
      </c>
      <c r="M196" s="199"/>
      <c r="N196" s="199" t="s">
        <v>755</v>
      </c>
      <c r="O196" s="199">
        <v>180</v>
      </c>
    </row>
    <row r="197" spans="12:15" ht="26.4" x14ac:dyDescent="0.25">
      <c r="L197" s="199" t="s">
        <v>734</v>
      </c>
      <c r="M197" s="199"/>
      <c r="N197" s="199" t="s">
        <v>756</v>
      </c>
      <c r="O197" s="199">
        <v>184</v>
      </c>
    </row>
    <row r="198" spans="12:15" x14ac:dyDescent="0.25">
      <c r="L198" s="199" t="s">
        <v>734</v>
      </c>
      <c r="M198" s="199"/>
      <c r="N198" s="199" t="s">
        <v>757</v>
      </c>
      <c r="O198" s="199">
        <v>180</v>
      </c>
    </row>
    <row r="199" spans="12:15" x14ac:dyDescent="0.25">
      <c r="L199" s="199" t="s">
        <v>734</v>
      </c>
      <c r="M199" s="199"/>
      <c r="N199" s="199" t="s">
        <v>758</v>
      </c>
      <c r="O199" s="199">
        <v>180</v>
      </c>
    </row>
    <row r="200" spans="12:15" x14ac:dyDescent="0.25">
      <c r="L200" s="200" t="s">
        <v>759</v>
      </c>
      <c r="M200" s="200"/>
      <c r="N200" s="200" t="s">
        <v>760</v>
      </c>
      <c r="O200" s="200">
        <v>183</v>
      </c>
    </row>
    <row r="201" spans="12:15" ht="26.4" x14ac:dyDescent="0.25">
      <c r="L201" s="200" t="s">
        <v>759</v>
      </c>
      <c r="M201" s="200"/>
      <c r="N201" s="200" t="s">
        <v>761</v>
      </c>
      <c r="O201" s="200">
        <v>183</v>
      </c>
    </row>
    <row r="202" spans="12:15" ht="26.4" x14ac:dyDescent="0.25">
      <c r="L202" s="200" t="s">
        <v>759</v>
      </c>
      <c r="M202" s="200"/>
      <c r="N202" s="200" t="s">
        <v>762</v>
      </c>
      <c r="O202" s="200">
        <v>183</v>
      </c>
    </row>
    <row r="203" spans="12:15" x14ac:dyDescent="0.25">
      <c r="L203" s="200" t="s">
        <v>759</v>
      </c>
      <c r="M203" s="200"/>
      <c r="N203" s="200" t="s">
        <v>763</v>
      </c>
      <c r="O203" s="200">
        <v>183</v>
      </c>
    </row>
    <row r="204" spans="12:15" x14ac:dyDescent="0.25">
      <c r="L204" s="200" t="s">
        <v>759</v>
      </c>
      <c r="M204" s="200"/>
      <c r="N204" s="200" t="s">
        <v>764</v>
      </c>
      <c r="O204" s="200">
        <v>183</v>
      </c>
    </row>
    <row r="205" spans="12:15" ht="26.4" x14ac:dyDescent="0.25">
      <c r="L205" s="200" t="s">
        <v>759</v>
      </c>
      <c r="M205" s="200"/>
      <c r="N205" s="200" t="s">
        <v>765</v>
      </c>
      <c r="O205" s="200">
        <v>183</v>
      </c>
    </row>
    <row r="206" spans="12:15" ht="26.4" x14ac:dyDescent="0.25">
      <c r="L206" s="200" t="s">
        <v>759</v>
      </c>
      <c r="M206" s="200"/>
      <c r="N206" s="200" t="s">
        <v>766</v>
      </c>
      <c r="O206" s="200">
        <v>183</v>
      </c>
    </row>
    <row r="207" spans="12:15" x14ac:dyDescent="0.25">
      <c r="L207" s="200" t="s">
        <v>759</v>
      </c>
      <c r="M207" s="200"/>
      <c r="N207" s="200" t="s">
        <v>767</v>
      </c>
      <c r="O207" s="200">
        <v>183</v>
      </c>
    </row>
    <row r="208" spans="12:15" x14ac:dyDescent="0.25">
      <c r="L208" s="200" t="s">
        <v>759</v>
      </c>
      <c r="M208" s="200"/>
      <c r="N208" s="200" t="s">
        <v>768</v>
      </c>
      <c r="O208" s="200">
        <v>183</v>
      </c>
    </row>
    <row r="209" spans="12:15" x14ac:dyDescent="0.25">
      <c r="L209" s="200" t="s">
        <v>759</v>
      </c>
      <c r="M209" s="200"/>
      <c r="N209" s="200" t="s">
        <v>769</v>
      </c>
      <c r="O209" s="200">
        <v>183</v>
      </c>
    </row>
    <row r="210" spans="12:15" x14ac:dyDescent="0.25">
      <c r="L210" s="200" t="s">
        <v>759</v>
      </c>
      <c r="M210" s="200"/>
      <c r="N210" s="200" t="s">
        <v>770</v>
      </c>
      <c r="O210" s="200">
        <v>183</v>
      </c>
    </row>
    <row r="211" spans="12:15" x14ac:dyDescent="0.25">
      <c r="L211" s="200" t="s">
        <v>759</v>
      </c>
      <c r="M211" s="200"/>
      <c r="N211" s="200" t="s">
        <v>234</v>
      </c>
      <c r="O211" s="200">
        <v>183</v>
      </c>
    </row>
    <row r="212" spans="12:15" ht="39.6" x14ac:dyDescent="0.25">
      <c r="L212" s="200" t="s">
        <v>759</v>
      </c>
      <c r="M212" s="200"/>
      <c r="N212" s="200" t="s">
        <v>771</v>
      </c>
      <c r="O212" s="200">
        <v>183</v>
      </c>
    </row>
    <row r="213" spans="12:15" ht="26.4" x14ac:dyDescent="0.25">
      <c r="L213" s="200" t="s">
        <v>759</v>
      </c>
      <c r="M213" s="200"/>
      <c r="N213" s="200" t="s">
        <v>761</v>
      </c>
      <c r="O213" s="200">
        <v>183</v>
      </c>
    </row>
    <row r="214" spans="12:15" ht="26.4" x14ac:dyDescent="0.25">
      <c r="L214" s="200" t="s">
        <v>759</v>
      </c>
      <c r="M214" s="200"/>
      <c r="N214" s="200" t="s">
        <v>772</v>
      </c>
      <c r="O214" s="200">
        <v>183</v>
      </c>
    </row>
    <row r="215" spans="12:15" ht="118.8" x14ac:dyDescent="0.25">
      <c r="L215" s="200" t="s">
        <v>759</v>
      </c>
      <c r="M215" s="200"/>
      <c r="N215" s="200" t="s">
        <v>773</v>
      </c>
      <c r="O215" s="200">
        <v>183</v>
      </c>
    </row>
    <row r="216" spans="12:15" x14ac:dyDescent="0.25">
      <c r="L216" s="200" t="s">
        <v>759</v>
      </c>
      <c r="M216" s="200"/>
      <c r="N216" s="200" t="s">
        <v>774</v>
      </c>
      <c r="O216" s="200">
        <v>183</v>
      </c>
    </row>
    <row r="217" spans="12:15" x14ac:dyDescent="0.25">
      <c r="L217" s="200" t="s">
        <v>759</v>
      </c>
      <c r="M217" s="200"/>
      <c r="N217" s="200" t="s">
        <v>775</v>
      </c>
      <c r="O217" s="200">
        <v>183</v>
      </c>
    </row>
    <row r="218" spans="12:15" x14ac:dyDescent="0.25">
      <c r="L218" s="200" t="s">
        <v>759</v>
      </c>
      <c r="M218" s="200"/>
      <c r="N218" s="200" t="s">
        <v>776</v>
      </c>
      <c r="O218" s="200">
        <v>183</v>
      </c>
    </row>
    <row r="219" spans="12:15" x14ac:dyDescent="0.25">
      <c r="L219" s="200" t="s">
        <v>759</v>
      </c>
      <c r="M219" s="200"/>
      <c r="N219" s="200" t="s">
        <v>777</v>
      </c>
      <c r="O219" s="200">
        <v>183</v>
      </c>
    </row>
    <row r="220" spans="12:15" x14ac:dyDescent="0.25">
      <c r="L220" s="200" t="s">
        <v>759</v>
      </c>
      <c r="M220" s="200"/>
      <c r="N220" s="200" t="s">
        <v>778</v>
      </c>
      <c r="O220" s="200">
        <v>183</v>
      </c>
    </row>
    <row r="221" spans="12:15" x14ac:dyDescent="0.25">
      <c r="L221" s="200" t="s">
        <v>759</v>
      </c>
      <c r="M221" s="200"/>
      <c r="N221" s="200" t="s">
        <v>779</v>
      </c>
      <c r="O221" s="200">
        <v>183</v>
      </c>
    </row>
    <row r="222" spans="12:15" x14ac:dyDescent="0.25">
      <c r="L222" s="200" t="s">
        <v>759</v>
      </c>
      <c r="M222" s="200"/>
      <c r="N222" s="200" t="s">
        <v>780</v>
      </c>
      <c r="O222" s="200">
        <v>183</v>
      </c>
    </row>
    <row r="223" spans="12:15" x14ac:dyDescent="0.25">
      <c r="L223" s="200" t="s">
        <v>759</v>
      </c>
      <c r="M223" s="200"/>
      <c r="N223" s="200" t="s">
        <v>781</v>
      </c>
      <c r="O223" s="200">
        <v>183</v>
      </c>
    </row>
    <row r="224" spans="12:15" x14ac:dyDescent="0.25">
      <c r="L224" s="200" t="s">
        <v>759</v>
      </c>
      <c r="M224" s="200"/>
      <c r="N224" s="200" t="s">
        <v>782</v>
      </c>
      <c r="O224" s="200">
        <v>183</v>
      </c>
    </row>
    <row r="225" spans="12:15" x14ac:dyDescent="0.25">
      <c r="L225" s="200" t="s">
        <v>759</v>
      </c>
      <c r="M225" s="200"/>
      <c r="N225" s="200" t="s">
        <v>783</v>
      </c>
      <c r="O225" s="200">
        <v>183</v>
      </c>
    </row>
    <row r="226" spans="12:15" x14ac:dyDescent="0.25">
      <c r="L226" s="200" t="s">
        <v>759</v>
      </c>
      <c r="M226" s="200"/>
      <c r="N226" s="200" t="s">
        <v>784</v>
      </c>
      <c r="O226" s="200">
        <v>183</v>
      </c>
    </row>
    <row r="227" spans="12:15" x14ac:dyDescent="0.25">
      <c r="L227" s="200" t="s">
        <v>759</v>
      </c>
      <c r="M227" s="200"/>
      <c r="N227" s="200" t="s">
        <v>785</v>
      </c>
      <c r="O227" s="200">
        <v>183</v>
      </c>
    </row>
    <row r="228" spans="12:15" x14ac:dyDescent="0.25">
      <c r="L228" s="200" t="s">
        <v>759</v>
      </c>
      <c r="M228" s="200"/>
      <c r="N228" s="200" t="s">
        <v>786</v>
      </c>
      <c r="O228" s="200">
        <v>183</v>
      </c>
    </row>
    <row r="229" spans="12:15" x14ac:dyDescent="0.25">
      <c r="L229" s="200" t="s">
        <v>759</v>
      </c>
      <c r="M229" s="200"/>
      <c r="N229" s="200" t="s">
        <v>290</v>
      </c>
      <c r="O229" s="200">
        <v>183</v>
      </c>
    </row>
    <row r="230" spans="12:15" x14ac:dyDescent="0.25">
      <c r="L230" s="200" t="s">
        <v>759</v>
      </c>
      <c r="M230" s="200"/>
      <c r="N230" s="200" t="s">
        <v>787</v>
      </c>
      <c r="O230" s="200">
        <v>183</v>
      </c>
    </row>
    <row r="231" spans="12:15" ht="26.4" x14ac:dyDescent="0.25">
      <c r="L231" s="200" t="s">
        <v>759</v>
      </c>
      <c r="M231" s="200"/>
      <c r="N231" s="200" t="s">
        <v>788</v>
      </c>
      <c r="O231" s="200">
        <v>183</v>
      </c>
    </row>
    <row r="232" spans="12:15" x14ac:dyDescent="0.25">
      <c r="L232" s="200" t="s">
        <v>759</v>
      </c>
      <c r="M232" s="200"/>
      <c r="N232" s="200" t="s">
        <v>287</v>
      </c>
      <c r="O232" s="200">
        <v>183</v>
      </c>
    </row>
    <row r="233" spans="12:15" x14ac:dyDescent="0.25">
      <c r="M233" s="201"/>
      <c r="N233" s="194" t="s">
        <v>653</v>
      </c>
      <c r="O233" s="194">
        <v>2095</v>
      </c>
    </row>
    <row r="234" spans="12:15" ht="26.4" x14ac:dyDescent="0.25">
      <c r="M234" s="201"/>
      <c r="N234" s="194" t="s">
        <v>409</v>
      </c>
      <c r="O234" s="194">
        <v>180</v>
      </c>
    </row>
    <row r="347" spans="1:10" x14ac:dyDescent="0.25">
      <c r="A347" s="189"/>
      <c r="B347" s="190"/>
      <c r="C347" s="191"/>
      <c r="D347" s="192"/>
      <c r="E347" s="192"/>
      <c r="F347" s="193"/>
      <c r="G347" s="197"/>
      <c r="I347" s="196"/>
      <c r="J347" s="150"/>
    </row>
    <row r="348" spans="1:10" x14ac:dyDescent="0.25">
      <c r="A348" s="189"/>
      <c r="B348" s="190"/>
      <c r="C348" s="191"/>
      <c r="D348" s="192"/>
      <c r="E348" s="192"/>
      <c r="F348" s="193"/>
      <c r="G348" s="197"/>
      <c r="I348" s="196"/>
      <c r="J348" s="150"/>
    </row>
    <row r="349" spans="1:10" x14ac:dyDescent="0.25">
      <c r="A349" s="189"/>
      <c r="B349" s="190"/>
      <c r="C349" s="191"/>
      <c r="D349" s="192"/>
      <c r="E349" s="192"/>
      <c r="F349" s="193"/>
      <c r="G349" s="197"/>
      <c r="I349" s="196"/>
      <c r="J349" s="150"/>
    </row>
    <row r="350" spans="1:10" x14ac:dyDescent="0.25">
      <c r="A350" s="189"/>
      <c r="B350" s="190"/>
      <c r="C350" s="191"/>
      <c r="D350" s="192"/>
      <c r="E350" s="192"/>
      <c r="F350" s="193"/>
      <c r="G350" s="197"/>
      <c r="I350" s="196"/>
      <c r="J350" s="150"/>
    </row>
    <row r="351" spans="1:10" ht="13.8" x14ac:dyDescent="0.25">
      <c r="A351" s="214" t="s">
        <v>789</v>
      </c>
      <c r="B351" s="215"/>
      <c r="C351" s="215"/>
      <c r="D351" s="215"/>
      <c r="E351" s="215"/>
      <c r="F351" s="215"/>
      <c r="G351" s="215"/>
      <c r="H351" s="215"/>
      <c r="I351" s="216"/>
      <c r="J351" s="139"/>
    </row>
    <row r="352" spans="1:10" x14ac:dyDescent="0.25">
      <c r="A352" s="184"/>
      <c r="B352" s="177"/>
      <c r="C352" s="159"/>
      <c r="D352" s="169"/>
      <c r="E352" s="171" t="s">
        <v>790</v>
      </c>
      <c r="F352" s="171"/>
      <c r="G352" s="202"/>
      <c r="H352" s="202"/>
      <c r="I352" s="176"/>
      <c r="J352" s="139"/>
    </row>
    <row r="355" spans="8:8" s="2" customFormat="1" x14ac:dyDescent="0.25">
      <c r="H355" s="203"/>
    </row>
  </sheetData>
  <mergeCells count="1">
    <mergeCell ref="A351:I3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ORDENES DE FABRICACION</vt:lpstr>
      <vt:lpstr>TOTALES</vt:lpstr>
      <vt:lpstr>Lista de Articulos</vt:lpstr>
      <vt:lpstr>BODEGAS</vt:lpstr>
      <vt:lpstr>RUTAS</vt:lpstr>
      <vt:lpstr>Arriostramientos_2C</vt:lpstr>
      <vt:lpstr>Arriostramientos_4PL</vt:lpstr>
      <vt:lpstr>Arriostramientos_H_I</vt:lpstr>
      <vt:lpstr>ListaPosicion</vt:lpstr>
      <vt:lpstr>ListaPosicionPrin</vt:lpstr>
      <vt:lpstr>TOTALES!Print_Area</vt:lpstr>
    </vt:vector>
  </TitlesOfParts>
  <Company>Siemens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bastidasr</dc:creator>
  <cp:lastModifiedBy>Luis Lliquin</cp:lastModifiedBy>
  <cp:lastPrinted>2015-07-15T15:48:35Z</cp:lastPrinted>
  <dcterms:created xsi:type="dcterms:W3CDTF">2008-08-21T20:59:56Z</dcterms:created>
  <dcterms:modified xsi:type="dcterms:W3CDTF">2026-03-01T13:54:27Z</dcterms:modified>
</cp:coreProperties>
</file>